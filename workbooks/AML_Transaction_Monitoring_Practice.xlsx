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8e1ae0ac1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9094f8f0e72b4b7c"/>
    <x:sheet xmlns:r="http://schemas.openxmlformats.org/officeDocument/2006/relationships" name="Customers" sheetId="2" r:id="R0feb8f2777ab45ce"/>
    <x:sheet xmlns:r="http://schemas.openxmlformats.org/officeDocument/2006/relationships" name="Instructions" sheetId="3" r:id="Rbc32778410584cc5"/>
    <x:sheet xmlns:r="http://schemas.openxmlformats.org/officeDocument/2006/relationships" name="Case Log" sheetId="4" r:id="R2c34d8ad42a842f8"/>
    <x:sheet xmlns:r="http://schemas.openxmlformats.org/officeDocument/2006/relationships" name="VLOOKUP Walkthrough" sheetId="5" r:id="R530d58bb23a74d21"/>
    <x:sheet xmlns:r="http://schemas.openxmlformats.org/officeDocument/2006/relationships" name="Pivot Summary Example" sheetId="6" r:id="R070a2c34cd8c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532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8C4B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fbd3121c24726" /><Relationship Type="http://schemas.openxmlformats.org/officeDocument/2006/relationships/theme" Target="/xl/theme/theme1.xml" Id="R76fa205fa0714083" /><Relationship Type="http://schemas.openxmlformats.org/officeDocument/2006/relationships/sharedStrings" Target="/xl/sharedStrings.xml" Id="R96699525ce4c4cd5" /><Relationship Type="http://schemas.openxmlformats.org/officeDocument/2006/relationships/worksheet" Target="/xl/worksheets/sheet1.xml" Id="R9094f8f0e72b4b7c" /><Relationship Type="http://schemas.openxmlformats.org/officeDocument/2006/relationships/worksheet" Target="/xl/worksheets/sheet2.xml" Id="R0feb8f2777ab45ce" /><Relationship Type="http://schemas.openxmlformats.org/officeDocument/2006/relationships/worksheet" Target="/xl/worksheets/sheet3.xml" Id="Rbc32778410584cc5" /><Relationship Type="http://schemas.openxmlformats.org/officeDocument/2006/relationships/worksheet" Target="/xl/worksheets/sheet4.xml" Id="R2c34d8ad42a842f8" /><Relationship Type="http://schemas.openxmlformats.org/officeDocument/2006/relationships/worksheet" Target="/xl/worksheets/sheet5.xml" Id="R530d58bb23a74d21" /><Relationship Type="http://schemas.openxmlformats.org/officeDocument/2006/relationships/worksheet" Target="/xl/worksheets/sheet6.xml" Id="R070a2c34cd8c47a9" /></Relationships>
</file>

<file path=xl/tables/table1.xml><?xml version="1.0" encoding="utf-8"?>
<x:table xmlns:x="http://schemas.openxmlformats.org/spreadsheetml/2006/main" id="1" name="SyntheticTransactions" displayName="SyntheticTransactions" ref="A1:J121" headerRowCount="1" totalsRowCount="0" totalsRowShown="0">
  <x:tableColumns count="10">
    <x:tableColumn id="1" name="Transaction ID"/>
    <x:tableColumn id="2" name="Date"/>
    <x:tableColumn id="3" name="Customer ID"/>
    <x:tableColumn id="4" name="Type"/>
    <x:tableColumn id="5" name="Amount USD"/>
    <x:tableColumn id="6" name="Counterparty Country"/>
    <x:tableColumn id="7" name="Scenario Note"/>
    <x:tableColumn id="8" name="Customer Name (VLOOKUP)"/>
    <x:tableColumn id="9" name="Risk Rating (VLOOKUP)"/>
    <x:tableColumn id="10" name="Training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Customers" displayName="SyntheticCustomers" ref="A1:F9" headerRowCount="1" totalsRowCount="0" totalsRowShown="0">
  <x:tableColumns count="6">
    <x:tableColumn id="1" name="Customer ID"/>
    <x:tableColumn id="2" name="Customer Name"/>
    <x:tableColumn id="3" name="Industry"/>
    <x:tableColumn id="4" name="Risk Rating"/>
    <x:tableColumn id="5" name="Home Country"/>
    <x:tableColumn id="6" name="Expected Monthly Activity 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f0bc126964b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94b69170c540e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3" hidden="0" customWidth="1"/>
    <x:col min="8" max="8" width="26" hidden="0" customWidth="1"/>
    <x:col min="9" max="9" width="18" hidden="0" customWidth="1"/>
    <x:col min="10" max="10" width="30" hidden="0" customWidth="1"/>
  </x:cols>
  <x:sheetData>
    <x:row r="1" ht="30" customHeight="1">
      <x:c r="A1" s="8" t="str">
        <x:v>Transaction ID</x:v>
      </x:c>
      <x:c r="B1" s="8" t="str">
        <x:v>Date</x:v>
      </x:c>
      <x:c r="C1" s="8" t="str">
        <x:v>Customer ID</x:v>
      </x:c>
      <x:c r="D1" s="8" t="str">
        <x:v>Type</x:v>
      </x:c>
      <x:c r="E1" s="8" t="str">
        <x:v>Amount USD</x:v>
      </x:c>
      <x:c r="F1" s="8" t="str">
        <x:v>Counterparty Country</x:v>
      </x:c>
      <x:c r="G1" s="8" t="str">
        <x:v>Scenario Note</x:v>
      </x:c>
      <x:c r="H1" s="8" t="str">
        <x:v>Customer Name (VLOOKUP)</x:v>
      </x:c>
      <x:c r="I1" s="8" t="str">
        <x:v>Risk Rating (VLOOKUP)</x:v>
      </x:c>
      <x:c r="J1" s="8" t="str">
        <x:v>Training Flag</x:v>
      </x:c>
    </x:row>
    <x:row r="2">
      <x:c r="A2" t="str">
        <x:v>T0001</x:v>
      </x:c>
      <x:c r="B2" t="str">
        <x:v>2026-08-12</x:v>
      </x:c>
      <x:c r="C2" t="str">
        <x:v>C001</x:v>
      </x:c>
      <x:c r="D2" t="str">
        <x:v>Cash Deposit</x:v>
      </x:c>
      <x:c r="E2" s="2" t="n">
        <x:v>9200</x:v>
      </x:c>
      <x:c r="F2" t="str">
        <x:v>US</x:v>
      </x:c>
      <x:c r="G2" t="str">
        <x:v>Case TM-01: clustered deposits</x:v>
      </x:c>
      <x:c r="H2" t="str">
        <x:f>IFERROR(VLOOKUP(C2,Customers!$A$2:$F$9,2,FALSE),"NOT FOUND")</x:f>
        <x:v>Cedar Market</x:v>
      </x:c>
      <x:c r="I2" t="str">
        <x:f>IFERROR(VLOOKUP(C2,Customers!$A$2:$F$9,4,FALSE),"NOT FOUND")</x:f>
        <x:v>Medium</x:v>
      </x:c>
      <x:c r="J2" t="str">
        <x:f>IF(AND(D2="Cash Deposit",E2&gt;=9000),"REVIEW - TRAINING THRESHOLD",IF(AND(D2="International Wire",E2&gt;=13000),"REVIEW - CROSS-BORDER",""))</x:f>
        <x:v>REVIEW - TRAINING THRESHOLD</x:v>
      </x:c>
    </x:row>
    <x:row r="3">
      <x:c r="A3" t="str">
        <x:v>T0002</x:v>
      </x:c>
      <x:c r="B3" t="str">
        <x:v>2026-08-13</x:v>
      </x:c>
      <x:c r="C3" t="str">
        <x:v>C001</x:v>
      </x:c>
      <x:c r="D3" t="str">
        <x:v>Cash Deposit</x:v>
      </x:c>
      <x:c r="E3" s="2" t="n">
        <x:v>9450</x:v>
      </x:c>
      <x:c r="F3" t="str">
        <x:v>US</x:v>
      </x:c>
      <x:c r="G3" t="str">
        <x:v>Case TM-01: clustered deposits</x:v>
      </x:c>
      <x:c r="H3" t="str">
        <x:f>IFERROR(VLOOKUP(C3,Customers!$A$2:$F$9,2,FALSE),"NOT FOUND")</x:f>
        <x:v>Cedar Market</x:v>
      </x:c>
      <x:c r="I3" t="str">
        <x:f>IFERROR(VLOOKUP(C3,Customers!$A$2:$F$9,4,FALSE),"NOT FOUND")</x:f>
        <x:v>Medium</x:v>
      </x:c>
      <x:c r="J3" t="str">
        <x:f>IF(AND(D3="Cash Deposit",E3&gt;=9000),"REVIEW - TRAINING THRESHOLD",IF(AND(D3="International Wire",E3&gt;=13000),"REVIEW - CROSS-BORDER",""))</x:f>
        <x:v>REVIEW - TRAINING THRESHOLD</x:v>
      </x:c>
    </x:row>
    <x:row r="4">
      <x:c r="A4" t="str">
        <x:v>T0003</x:v>
      </x:c>
      <x:c r="B4" t="str">
        <x:v>2026-08-14</x:v>
      </x:c>
      <x:c r="C4" t="str">
        <x:v>C001</x:v>
      </x:c>
      <x:c r="D4" t="str">
        <x:v>Cash Deposit</x:v>
      </x:c>
      <x:c r="E4" s="2" t="n">
        <x:v>9700</x:v>
      </x:c>
      <x:c r="F4" t="str">
        <x:v>US</x:v>
      </x:c>
      <x:c r="G4" t="str">
        <x:v>Case TM-01: clustered deposits</x:v>
      </x:c>
      <x:c r="H4" t="str">
        <x:f>IFERROR(VLOOKUP(C4,Customers!$A$2:$F$9,2,FALSE),"NOT FOUND")</x:f>
        <x:v>Cedar Market</x:v>
      </x:c>
      <x:c r="I4" t="str">
        <x:f>IFERROR(VLOOKUP(C4,Customers!$A$2:$F$9,4,FALSE),"NOT FOUND")</x:f>
        <x:v>Medium</x:v>
      </x:c>
      <x:c r="J4" t="str">
        <x:f>IF(AND(D4="Cash Deposit",E4&gt;=9000),"REVIEW - TRAINING THRESHOLD",IF(AND(D4="International Wire",E4&gt;=13000),"REVIEW - CROSS-BORDER",""))</x:f>
        <x:v>REVIEW - TRAINING THRESHOLD</x:v>
      </x:c>
    </x:row>
    <x:row r="5">
      <x:c r="A5" t="str">
        <x:v>T0004</x:v>
      </x:c>
      <x:c r="B5" t="str">
        <x:v>2026-08-15</x:v>
      </x:c>
      <x:c r="C5" t="str">
        <x:v>C001</x:v>
      </x:c>
      <x:c r="D5" t="str">
        <x:v>Cash Deposit</x:v>
      </x:c>
      <x:c r="E5" s="2" t="n">
        <x:v>9350</x:v>
      </x:c>
      <x:c r="F5" t="str">
        <x:v>US</x:v>
      </x:c>
      <x:c r="G5" t="str">
        <x:v>Case TM-01: clustered deposits</x:v>
      </x:c>
      <x:c r="H5" t="str">
        <x:f>IFERROR(VLOOKUP(C5,Customers!$A$2:$F$9,2,FALSE),"NOT FOUND")</x:f>
        <x:v>Cedar Market</x:v>
      </x:c>
      <x:c r="I5" t="str">
        <x:f>IFERROR(VLOOKUP(C5,Customers!$A$2:$F$9,4,FALSE),"NOT FOUND")</x:f>
        <x:v>Medium</x:v>
      </x:c>
      <x:c r="J5" t="str">
        <x:f>IF(AND(D5="Cash Deposit",E5&gt;=9000),"REVIEW - TRAINING THRESHOLD",IF(AND(D5="International Wire",E5&gt;=13000),"REVIEW - CROSS-BORDER",""))</x:f>
        <x:v>REVIEW - TRAINING THRESHOLD</x:v>
      </x:c>
    </x:row>
    <x:row r="6">
      <x:c r="A6" t="str">
        <x:v>T0005</x:v>
      </x:c>
      <x:c r="B6" t="str">
        <x:v>2026-08-18</x:v>
      </x:c>
      <x:c r="C6" t="str">
        <x:v>C004</x:v>
      </x:c>
      <x:c r="D6" t="str">
        <x:v>ACH Credit</x:v>
      </x:c>
      <x:c r="E6" s="2" t="n">
        <x:v>3054.52</x:v>
      </x:c>
      <x:c r="F6" t="str">
        <x:v>US</x:v>
      </x:c>
      <x:c r="G6" t="str">
        <x:v>Routine synthetic activity</x:v>
      </x:c>
      <x:c r="H6" t="str">
        <x:f>IFERROR(VLOOKUP(C6,Customers!$A$2:$F$9,2,FALSE),"NOT FOUND")</x:f>
        <x:v>Luna Cafe</x:v>
      </x:c>
      <x:c r="I6" t="str">
        <x:f>IFERROR(VLOOKUP(C6,Customers!$A$2:$F$9,4,FALSE),"NOT FOUND")</x:f>
        <x:v>Low</x:v>
      </x:c>
      <x:c r="J6" t="str">
        <x:f>IF(AND(D6="Cash Deposit",E6&gt;=9000),"REVIEW - TRAINING THRESHOLD",IF(AND(D6="International Wire",E6&gt;=13000),"REVIEW - CROSS-BORDER",""))</x:f>
      </x:c>
    </x:row>
    <x:row r="7">
      <x:c r="A7" t="str">
        <x:v>T0006</x:v>
      </x:c>
      <x:c r="B7" t="str">
        <x:v>2026-08-21</x:v>
      </x:c>
      <x:c r="C7" t="str">
        <x:v>C003</x:v>
      </x:c>
      <x:c r="D7" t="str">
        <x:v>Card Settlement</x:v>
      </x:c>
      <x:c r="E7" s="2" t="n">
        <x:v>3009.47</x:v>
      </x:c>
      <x:c r="F7" t="str">
        <x:v>US</x:v>
      </x:c>
      <x:c r="G7" t="str">
        <x:v>Routine synthetic activity</x:v>
      </x:c>
      <x:c r="H7" t="str">
        <x:f>IFERROR(VLOOKUP(C7,Customers!$A$2:$F$9,2,FALSE),"NOT FOUND")</x:f>
        <x:v>Atlas Imports</x:v>
      </x:c>
      <x:c r="I7" t="str">
        <x:f>IFERROR(VLOOKUP(C7,Customers!$A$2:$F$9,4,FALSE),"NOT FOUND")</x:f>
        <x:v>High</x:v>
      </x:c>
      <x:c r="J7" t="str">
        <x:f>IF(AND(D7="Cash Deposit",E7&gt;=9000),"REVIEW - TRAINING THRESHOLD",IF(AND(D7="International Wire",E7&gt;=13000),"REVIEW - CROSS-BORDER",""))</x:f>
      </x:c>
    </x:row>
    <x:row r="8">
      <x:c r="A8" t="str">
        <x:v>T0007</x:v>
      </x:c>
      <x:c r="B8" t="str">
        <x:v>2026-08-24</x:v>
      </x:c>
      <x:c r="C8" t="str">
        <x:v>C002</x:v>
      </x:c>
      <x:c r="D8" t="str">
        <x:v>Cash Deposit</x:v>
      </x:c>
      <x:c r="E8" s="2" t="n">
        <x:v>3427.79</x:v>
      </x:c>
      <x:c r="F8" t="str">
        <x:v>US</x:v>
      </x:c>
      <x:c r="G8" t="str">
        <x:v>Routine synthetic activity</x:v>
      </x:c>
      <x:c r="H8" t="str">
        <x:f>IFERROR(VLOOKUP(C8,Customers!$A$2:$F$9,2,FALSE),"NOT FOUND")</x:f>
        <x:v>Blue Heron Design</x:v>
      </x:c>
      <x:c r="I8" t="str">
        <x:f>IFERROR(VLOOKUP(C8,Customers!$A$2:$F$9,4,FALSE),"NOT FOUND")</x:f>
        <x:v>Low</x:v>
      </x:c>
      <x:c r="J8" t="str">
        <x:f>IF(AND(D8="Cash Deposit",E8&gt;=9000),"REVIEW - TRAINING THRESHOLD",IF(AND(D8="International Wire",E8&gt;=13000),"REVIEW - CROSS-BORDER",""))</x:f>
      </x:c>
    </x:row>
    <x:row r="9">
      <x:c r="A9" t="str">
        <x:v>T0008</x:v>
      </x:c>
      <x:c r="B9" t="str">
        <x:v>2026-08-27</x:v>
      </x:c>
      <x:c r="C9" t="str">
        <x:v>C001</x:v>
      </x:c>
      <x:c r="D9" t="str">
        <x:v>Domestic Wire</x:v>
      </x:c>
      <x:c r="E9" s="2" t="n">
        <x:v>2020.35</x:v>
      </x:c>
      <x:c r="F9" t="str">
        <x:v>US</x:v>
      </x:c>
      <x:c r="G9" t="str">
        <x:v>Routine synthetic activity</x:v>
      </x:c>
      <x:c r="H9" t="str">
        <x:f>IFERROR(VLOOKUP(C9,Customers!$A$2:$F$9,2,FALSE),"NOT FOUND")</x:f>
        <x:v>Cedar Market</x:v>
      </x:c>
      <x:c r="I9" t="str">
        <x:f>IFERROR(VLOOKUP(C9,Customers!$A$2:$F$9,4,FALSE),"NOT FOUND")</x:f>
        <x:v>Medium</x:v>
      </x:c>
      <x:c r="J9" t="str">
        <x:f>IF(AND(D9="Cash Deposit",E9&gt;=9000),"REVIEW - TRAINING THRESHOLD",IF(AND(D9="International Wire",E9&gt;=13000),"REVIEW - CROSS-BORDER",""))</x:f>
      </x:c>
    </x:row>
    <x:row r="10">
      <x:c r="A10" t="str">
        <x:v>T0009</x:v>
      </x:c>
      <x:c r="B10" t="str">
        <x:v>2026-08-30</x:v>
      </x:c>
      <x:c r="C10" t="str">
        <x:v>C008</x:v>
      </x:c>
      <x:c r="D10" t="str">
        <x:v>ACH Debit</x:v>
      </x:c>
      <x:c r="E10" s="2" t="n">
        <x:v>2521.98</x:v>
      </x:c>
      <x:c r="F10" t="str">
        <x:v>US</x:v>
      </x:c>
      <x:c r="G10" t="str">
        <x:v>Routine synthetic activity</x:v>
      </x:c>
      <x:c r="H10" t="str">
        <x:f>IFERROR(VLOOKUP(C10,Customers!$A$2:$F$9,2,FALSE),"NOT FOUND")</x:f>
        <x:v>Orchid Logistics</x:v>
      </x:c>
      <x:c r="I10" t="str">
        <x:f>IFERROR(VLOOKUP(C10,Customers!$A$2:$F$9,4,FALSE),"NOT FOUND")</x:f>
        <x:v>High</x:v>
      </x:c>
      <x:c r="J10" t="str">
        <x:f>IF(AND(D10="Cash Deposit",E10&gt;=9000),"REVIEW - TRAINING THRESHOLD",IF(AND(D10="International Wire",E10&gt;=13000),"REVIEW - CROSS-BORDER",""))</x:f>
      </x:c>
    </x:row>
    <x:row r="11">
      <x:c r="A11" t="str">
        <x:v>T0010</x:v>
      </x:c>
      <x:c r="B11" t="str">
        <x:v>2026-08-05</x:v>
      </x:c>
      <x:c r="C11" t="str">
        <x:v>C007</x:v>
      </x:c>
      <x:c r="D11" t="str">
        <x:v>ACH Credit</x:v>
      </x:c>
      <x:c r="E11" s="2" t="n">
        <x:v>3725.11</x:v>
      </x:c>
      <x:c r="F11" t="str">
        <x:v>US</x:v>
      </x:c>
      <x:c r="G11" t="str">
        <x:v>Routine synthetic activity</x:v>
      </x:c>
      <x:c r="H11" t="str">
        <x:f>IFERROR(VLOOKUP(C11,Customers!$A$2:$F$9,2,FALSE),"NOT FOUND")</x:f>
        <x:v>Summit Supplies</x:v>
      </x:c>
      <x:c r="I11" t="str">
        <x:f>IFERROR(VLOOKUP(C11,Customers!$A$2:$F$9,4,FALSE),"NOT FOUND")</x:f>
        <x:v>Medium</x:v>
      </x:c>
      <x:c r="J11" t="str">
        <x:f>IF(AND(D11="Cash Deposit",E11&gt;=9000),"REVIEW - TRAINING THRESHOLD",IF(AND(D11="International Wire",E11&gt;=13000),"REVIEW - CROSS-BORDER",""))</x:f>
      </x:c>
    </x:row>
    <x:row r="12">
      <x:c r="A12" t="str">
        <x:v>T0011</x:v>
      </x:c>
      <x:c r="B12" t="str">
        <x:v>2026-08-08</x:v>
      </x:c>
      <x:c r="C12" t="str">
        <x:v>C006</x:v>
      </x:c>
      <x:c r="D12" t="str">
        <x:v>Card Settlement</x:v>
      </x:c>
      <x:c r="E12" s="2" t="n">
        <x:v>3849.94</x:v>
      </x:c>
      <x:c r="F12" t="str">
        <x:v>US</x:v>
      </x:c>
      <x:c r="G12" t="str">
        <x:v>Routine synthetic activity</x:v>
      </x:c>
      <x:c r="H12" t="str">
        <x:f>IFERROR(VLOOKUP(C12,Customers!$A$2:$F$9,2,FALSE),"NOT FOUND")</x:f>
        <x:v>Maple Books</x:v>
      </x:c>
      <x:c r="I12" t="str">
        <x:f>IFERROR(VLOOKUP(C12,Customers!$A$2:$F$9,4,FALSE),"NOT FOUND")</x:f>
        <x:v>Low</x:v>
      </x:c>
      <x:c r="J12" t="str">
        <x:f>IF(AND(D12="Cash Deposit",E12&gt;=9000),"REVIEW - TRAINING THRESHOLD",IF(AND(D12="International Wire",E12&gt;=13000),"REVIEW - CROSS-BORDER",""))</x:f>
      </x:c>
    </x:row>
    <x:row r="13">
      <x:c r="A13" t="str">
        <x:v>T0012</x:v>
      </x:c>
      <x:c r="B13" t="str">
        <x:v>2026-08-11</x:v>
      </x:c>
      <x:c r="C13" t="str">
        <x:v>C005</x:v>
      </x:c>
      <x:c r="D13" t="str">
        <x:v>Cash Deposit</x:v>
      </x:c>
      <x:c r="E13" s="2" t="n">
        <x:v>4175.27</x:v>
      </x:c>
      <x:c r="F13" t="str">
        <x:v>US</x:v>
      </x:c>
      <x:c r="G13" t="str">
        <x:v>Routine synthetic activity</x:v>
      </x:c>
      <x:c r="H13" t="str">
        <x:f>IFERROR(VLOOKUP(C13,Customers!$A$2:$F$9,2,FALSE),"NOT FOUND")</x:f>
        <x:v>River Bend Services</x:v>
      </x:c>
      <x:c r="I13" t="str">
        <x:f>IFERROR(VLOOKUP(C13,Customers!$A$2:$F$9,4,FALSE),"NOT FOUND")</x:f>
        <x:v>Medium</x:v>
      </x:c>
      <x:c r="J13" t="str">
        <x:f>IF(AND(D13="Cash Deposit",E13&gt;=9000),"REVIEW - TRAINING THRESHOLD",IF(AND(D13="International Wire",E13&gt;=13000),"REVIEW - CROSS-BORDER",""))</x:f>
      </x:c>
    </x:row>
    <x:row r="14">
      <x:c r="A14" t="str">
        <x:v>T0013</x:v>
      </x:c>
      <x:c r="B14" t="str">
        <x:v>2026-08-14</x:v>
      </x:c>
      <x:c r="C14" t="str">
        <x:v>C004</x:v>
      </x:c>
      <x:c r="D14" t="str">
        <x:v>Domestic Wire</x:v>
      </x:c>
      <x:c r="E14" s="2" t="n">
        <x:v>3092.23</x:v>
      </x:c>
      <x:c r="F14" t="str">
        <x:v>US</x:v>
      </x:c>
      <x:c r="G14" t="str">
        <x:v>Routine synthetic activity</x:v>
      </x:c>
      <x:c r="H14" t="str">
        <x:f>IFERROR(VLOOKUP(C14,Customers!$A$2:$F$9,2,FALSE),"NOT FOUND")</x:f>
        <x:v>Luna Cafe</x:v>
      </x:c>
      <x:c r="I14" t="str">
        <x:f>IFERROR(VLOOKUP(C14,Customers!$A$2:$F$9,4,FALSE),"NOT FOUND")</x:f>
        <x:v>Low</x:v>
      </x:c>
      <x:c r="J14" t="str">
        <x:f>IF(AND(D14="Cash Deposit",E14&gt;=9000),"REVIEW - TRAINING THRESHOLD",IF(AND(D14="International Wire",E14&gt;=13000),"REVIEW - CROSS-BORDER",""))</x:f>
      </x:c>
    </x:row>
    <x:row r="15">
      <x:c r="A15" t="str">
        <x:v>T0014</x:v>
      </x:c>
      <x:c r="B15" t="str">
        <x:v>2026-08-17</x:v>
      </x:c>
      <x:c r="C15" t="str">
        <x:v>C003</x:v>
      </x:c>
      <x:c r="D15" t="str">
        <x:v>ACH Debit</x:v>
      </x:c>
      <x:c r="E15" s="2" t="n">
        <x:v>3793.23</x:v>
      </x:c>
      <x:c r="F15" t="str">
        <x:v>US</x:v>
      </x:c>
      <x:c r="G15" t="str">
        <x:v>Routine synthetic activity</x:v>
      </x:c>
      <x:c r="H15" t="str">
        <x:f>IFERROR(VLOOKUP(C15,Customers!$A$2:$F$9,2,FALSE),"NOT FOUND")</x:f>
        <x:v>Atlas Imports</x:v>
      </x:c>
      <x:c r="I15" t="str">
        <x:f>IFERROR(VLOOKUP(C15,Customers!$A$2:$F$9,4,FALSE),"NOT FOUND")</x:f>
        <x:v>High</x:v>
      </x:c>
      <x:c r="J15" t="str">
        <x:f>IF(AND(D15="Cash Deposit",E15&gt;=9000),"REVIEW - TRAINING THRESHOLD",IF(AND(D15="International Wire",E15&gt;=13000),"REVIEW - CROSS-BORDER",""))</x:f>
      </x:c>
    </x:row>
    <x:row r="16">
      <x:c r="A16" t="str">
        <x:v>T0015</x:v>
      </x:c>
      <x:c r="B16" t="str">
        <x:v>2026-08-20</x:v>
      </x:c>
      <x:c r="C16" t="str">
        <x:v>C002</x:v>
      </x:c>
      <x:c r="D16" t="str">
        <x:v>ACH Credit</x:v>
      </x:c>
      <x:c r="E16" s="2" t="n">
        <x:v>228.83</x:v>
      </x:c>
      <x:c r="F16" t="str">
        <x:v>US</x:v>
      </x:c>
      <x:c r="G16" t="str">
        <x:v>Routine synthetic activity</x:v>
      </x:c>
      <x:c r="H16" t="str">
        <x:f>IFERROR(VLOOKUP(C16,Customers!$A$2:$F$9,2,FALSE),"NOT FOUND")</x:f>
        <x:v>Blue Heron Design</x:v>
      </x:c>
      <x:c r="I16" t="str">
        <x:f>IFERROR(VLOOKUP(C16,Customers!$A$2:$F$9,4,FALSE),"NOT FOUND")</x:f>
        <x:v>Low</x:v>
      </x:c>
      <x:c r="J16" t="str">
        <x:f>IF(AND(D16="Cash Deposit",E16&gt;=9000),"REVIEW - TRAINING THRESHOLD",IF(AND(D16="International Wire",E16&gt;=13000),"REVIEW - CROSS-BORDER",""))</x:f>
      </x:c>
    </x:row>
    <x:row r="17">
      <x:c r="A17" t="str">
        <x:v>T0016</x:v>
      </x:c>
      <x:c r="B17" t="str">
        <x:v>2026-08-23</x:v>
      </x:c>
      <x:c r="C17" t="str">
        <x:v>C001</x:v>
      </x:c>
      <x:c r="D17" t="str">
        <x:v>Card Settlement</x:v>
      </x:c>
      <x:c r="E17" s="2" t="n">
        <x:v>3665.24</x:v>
      </x:c>
      <x:c r="F17" t="str">
        <x:v>US</x:v>
      </x:c>
      <x:c r="G17" t="str">
        <x:v>Routine synthetic activity</x:v>
      </x:c>
      <x:c r="H17" t="str">
        <x:f>IFERROR(VLOOKUP(C17,Customers!$A$2:$F$9,2,FALSE),"NOT FOUND")</x:f>
        <x:v>Cedar Market</x:v>
      </x:c>
      <x:c r="I17" t="str">
        <x:f>IFERROR(VLOOKUP(C17,Customers!$A$2:$F$9,4,FALSE),"NOT FOUND")</x:f>
        <x:v>Medium</x:v>
      </x:c>
      <x:c r="J17" t="str">
        <x:f>IF(AND(D17="Cash Deposit",E17&gt;=9000),"REVIEW - TRAINING THRESHOLD",IF(AND(D17="International Wire",E17&gt;=13000),"REVIEW - CROSS-BORDER",""))</x:f>
      </x:c>
    </x:row>
    <x:row r="18">
      <x:c r="A18" t="str">
        <x:v>T0017</x:v>
      </x:c>
      <x:c r="B18" t="str">
        <x:v>2026-08-26</x:v>
      </x:c>
      <x:c r="C18" t="str">
        <x:v>C008</x:v>
      </x:c>
      <x:c r="D18" t="str">
        <x:v>Cash Deposit</x:v>
      </x:c>
      <x:c r="E18" s="2" t="n">
        <x:v>851.76</x:v>
      </x:c>
      <x:c r="F18" t="str">
        <x:v>US</x:v>
      </x:c>
      <x:c r="G18" t="str">
        <x:v>Routine synthetic activity</x:v>
      </x:c>
      <x:c r="H18" t="str">
        <x:f>IFERROR(VLOOKUP(C18,Customers!$A$2:$F$9,2,FALSE),"NOT FOUND")</x:f>
        <x:v>Orchid Logistics</x:v>
      </x:c>
      <x:c r="I18" t="str">
        <x:f>IFERROR(VLOOKUP(C18,Customers!$A$2:$F$9,4,FALSE),"NOT FOUND")</x:f>
        <x:v>High</x:v>
      </x:c>
      <x:c r="J18" t="str">
        <x:f>IF(AND(D18="Cash Deposit",E18&gt;=9000),"REVIEW - TRAINING THRESHOLD",IF(AND(D18="International Wire",E18&gt;=13000),"REVIEW - CROSS-BORDER",""))</x:f>
      </x:c>
    </x:row>
    <x:row r="19">
      <x:c r="A19" t="str">
        <x:v>T0018</x:v>
      </x:c>
      <x:c r="B19" t="str">
        <x:v>2026-08-29</x:v>
      </x:c>
      <x:c r="C19" t="str">
        <x:v>C007</x:v>
      </x:c>
      <x:c r="D19" t="str">
        <x:v>Domestic Wire</x:v>
      </x:c>
      <x:c r="E19" s="2" t="n">
        <x:v>2378.39</x:v>
      </x:c>
      <x:c r="F19" t="str">
        <x:v>US</x:v>
      </x:c>
      <x:c r="G19" t="str">
        <x:v>Routine synthetic activity</x:v>
      </x:c>
      <x:c r="H19" t="str">
        <x:f>IFERROR(VLOOKUP(C19,Customers!$A$2:$F$9,2,FALSE),"NOT FOUND")</x:f>
        <x:v>Summit Supplies</x:v>
      </x:c>
      <x:c r="I19" t="str">
        <x:f>IFERROR(VLOOKUP(C19,Customers!$A$2:$F$9,4,FALSE),"NOT FOUND")</x:f>
        <x:v>Medium</x:v>
      </x:c>
      <x:c r="J19" t="str">
        <x:f>IF(AND(D19="Cash Deposit",E19&gt;=9000),"REVIEW - TRAINING THRESHOLD",IF(AND(D19="International Wire",E19&gt;=13000),"REVIEW - CROSS-BORDER",""))</x:f>
      </x:c>
    </x:row>
    <x:row r="20">
      <x:c r="A20" t="str">
        <x:v>T0019</x:v>
      </x:c>
      <x:c r="B20" t="str">
        <x:v>2026-08-04</x:v>
      </x:c>
      <x:c r="C20" t="str">
        <x:v>C006</x:v>
      </x:c>
      <x:c r="D20" t="str">
        <x:v>ACH Debit</x:v>
      </x:c>
      <x:c r="E20" s="2" t="n">
        <x:v>3290.89</x:v>
      </x:c>
      <x:c r="F20" t="str">
        <x:v>US</x:v>
      </x:c>
      <x:c r="G20" t="str">
        <x:v>Routine synthetic activity</x:v>
      </x:c>
      <x:c r="H20" t="str">
        <x:f>IFERROR(VLOOKUP(C20,Customers!$A$2:$F$9,2,FALSE),"NOT FOUND")</x:f>
        <x:v>Maple Books</x:v>
      </x:c>
      <x:c r="I20" t="str">
        <x:f>IFERROR(VLOOKUP(C20,Customers!$A$2:$F$9,4,FALSE),"NOT FOUND")</x:f>
        <x:v>Low</x:v>
      </x:c>
      <x:c r="J20" t="str">
        <x:f>IF(AND(D20="Cash Deposit",E20&gt;=9000),"REVIEW - TRAINING THRESHOLD",IF(AND(D20="International Wire",E20&gt;=13000),"REVIEW - CROSS-BORDER",""))</x:f>
      </x:c>
    </x:row>
    <x:row r="21">
      <x:c r="A21" t="str">
        <x:v>T0020</x:v>
      </x:c>
      <x:c r="B21" t="str">
        <x:v>2026-08-07</x:v>
      </x:c>
      <x:c r="C21" t="str">
        <x:v>C005</x:v>
      </x:c>
      <x:c r="D21" t="str">
        <x:v>ACH Credit</x:v>
      </x:c>
      <x:c r="E21" s="2" t="n">
        <x:v>3736.23</x:v>
      </x:c>
      <x:c r="F21" t="str">
        <x:v>US</x:v>
      </x:c>
      <x:c r="G21" t="str">
        <x:v>Routine synthetic activity</x:v>
      </x:c>
      <x:c r="H21" t="str">
        <x:f>IFERROR(VLOOKUP(C21,Customers!$A$2:$F$9,2,FALSE),"NOT FOUND")</x:f>
        <x:v>River Bend Services</x:v>
      </x:c>
      <x:c r="I21" t="str">
        <x:f>IFERROR(VLOOKUP(C21,Customers!$A$2:$F$9,4,FALSE),"NOT FOUND")</x:f>
        <x:v>Medium</x:v>
      </x:c>
      <x:c r="J21" t="str">
        <x:f>IF(AND(D21="Cash Deposit",E21&gt;=9000),"REVIEW - TRAINING THRESHOLD",IF(AND(D21="International Wire",E21&gt;=13000),"REVIEW - CROSS-BORDER",""))</x:f>
      </x:c>
    </x:row>
    <x:row r="22">
      <x:c r="A22" t="str">
        <x:v>T0021</x:v>
      </x:c>
      <x:c r="B22" t="str">
        <x:v>2026-08-10</x:v>
      </x:c>
      <x:c r="C22" t="str">
        <x:v>C004</x:v>
      </x:c>
      <x:c r="D22" t="str">
        <x:v>Card Settlement</x:v>
      </x:c>
      <x:c r="E22" s="2" t="n">
        <x:v>1496.97</x:v>
      </x:c>
      <x:c r="F22" t="str">
        <x:v>US</x:v>
      </x:c>
      <x:c r="G22" t="str">
        <x:v>Routine synthetic activity</x:v>
      </x:c>
      <x:c r="H22" t="str">
        <x:f>IFERROR(VLOOKUP(C22,Customers!$A$2:$F$9,2,FALSE),"NOT FOUND")</x:f>
        <x:v>Luna Cafe</x:v>
      </x:c>
      <x:c r="I22" t="str">
        <x:f>IFERROR(VLOOKUP(C22,Customers!$A$2:$F$9,4,FALSE),"NOT FOUND")</x:f>
        <x:v>Low</x:v>
      </x:c>
      <x:c r="J22" t="str">
        <x:f>IF(AND(D22="Cash Deposit",E22&gt;=9000),"REVIEW - TRAINING THRESHOLD",IF(AND(D22="International Wire",E22&gt;=13000),"REVIEW - CROSS-BORDER",""))</x:f>
      </x:c>
    </x:row>
    <x:row r="23">
      <x:c r="A23" t="str">
        <x:v>T0022</x:v>
      </x:c>
      <x:c r="B23" t="str">
        <x:v>2026-08-13</x:v>
      </x:c>
      <x:c r="C23" t="str">
        <x:v>C003</x:v>
      </x:c>
      <x:c r="D23" t="str">
        <x:v>Cash Deposit</x:v>
      </x:c>
      <x:c r="E23" s="2" t="n">
        <x:v>393.18</x:v>
      </x:c>
      <x:c r="F23" t="str">
        <x:v>US</x:v>
      </x:c>
      <x:c r="G23" t="str">
        <x:v>Routine synthetic activity</x:v>
      </x:c>
      <x:c r="H23" t="str">
        <x:f>IFERROR(VLOOKUP(C23,Customers!$A$2:$F$9,2,FALSE),"NOT FOUND")</x:f>
        <x:v>Atlas Imports</x:v>
      </x:c>
      <x:c r="I23" t="str">
        <x:f>IFERROR(VLOOKUP(C23,Customers!$A$2:$F$9,4,FALSE),"NOT FOUND")</x:f>
        <x:v>High</x:v>
      </x:c>
      <x:c r="J23" t="str">
        <x:f>IF(AND(D23="Cash Deposit",E23&gt;=9000),"REVIEW - TRAINING THRESHOLD",IF(AND(D23="International Wire",E23&gt;=13000),"REVIEW - CROSS-BORDER",""))</x:f>
      </x:c>
    </x:row>
    <x:row r="24">
      <x:c r="A24" t="str">
        <x:v>T0023</x:v>
      </x:c>
      <x:c r="B24" t="str">
        <x:v>2026-08-16</x:v>
      </x:c>
      <x:c r="C24" t="str">
        <x:v>C002</x:v>
      </x:c>
      <x:c r="D24" t="str">
        <x:v>Domestic Wire</x:v>
      </x:c>
      <x:c r="E24" s="2" t="n">
        <x:v>3780.95</x:v>
      </x:c>
      <x:c r="F24" t="str">
        <x:v>US</x:v>
      </x:c>
      <x:c r="G24" t="str">
        <x:v>Routine synthetic activity</x:v>
      </x:c>
      <x:c r="H24" t="str">
        <x:f>IFERROR(VLOOKUP(C24,Customers!$A$2:$F$9,2,FALSE),"NOT FOUND")</x:f>
        <x:v>Blue Heron Design</x:v>
      </x:c>
      <x:c r="I24" t="str">
        <x:f>IFERROR(VLOOKUP(C24,Customers!$A$2:$F$9,4,FALSE),"NOT FOUND")</x:f>
        <x:v>Low</x:v>
      </x:c>
      <x:c r="J24" t="str">
        <x:f>IF(AND(D24="Cash Deposit",E24&gt;=9000),"REVIEW - TRAINING THRESHOLD",IF(AND(D24="International Wire",E24&gt;=13000),"REVIEW - CROSS-BORDER",""))</x:f>
      </x:c>
    </x:row>
    <x:row r="25">
      <x:c r="A25" t="str">
        <x:v>T0024</x:v>
      </x:c>
      <x:c r="B25" t="str">
        <x:v>2026-08-19</x:v>
      </x:c>
      <x:c r="C25" t="str">
        <x:v>C001</x:v>
      </x:c>
      <x:c r="D25" t="str">
        <x:v>ACH Debit</x:v>
      </x:c>
      <x:c r="E25" s="2" t="n">
        <x:v>1229.28</x:v>
      </x:c>
      <x:c r="F25" t="str">
        <x:v>US</x:v>
      </x:c>
      <x:c r="G25" t="str">
        <x:v>Routine synthetic activity</x:v>
      </x:c>
      <x:c r="H25" t="str">
        <x:f>IFERROR(VLOOKUP(C25,Customers!$A$2:$F$9,2,FALSE),"NOT FOUND")</x:f>
        <x:v>Cedar Market</x:v>
      </x:c>
      <x:c r="I25" t="str">
        <x:f>IFERROR(VLOOKUP(C25,Customers!$A$2:$F$9,4,FALSE),"NOT FOUND")</x:f>
        <x:v>Medium</x:v>
      </x:c>
      <x:c r="J25" t="str">
        <x:f>IF(AND(D25="Cash Deposit",E25&gt;=9000),"REVIEW - TRAINING THRESHOLD",IF(AND(D25="International Wire",E25&gt;=13000),"REVIEW - CROSS-BORDER",""))</x:f>
      </x:c>
    </x:row>
    <x:row r="26">
      <x:c r="A26" t="str">
        <x:v>T0025</x:v>
      </x:c>
      <x:c r="B26" t="str">
        <x:v>2026-08-20</x:v>
      </x:c>
      <x:c r="C26" t="str">
        <x:v>C003</x:v>
      </x:c>
      <x:c r="D26" t="str">
        <x:v>International Wire</x:v>
      </x:c>
      <x:c r="E26" s="2" t="n">
        <x:v>14750</x:v>
      </x:c>
      <x:c r="F26" t="str">
        <x:v>Country X</x:v>
      </x:c>
      <x:c r="G26" t="str">
        <x:v>Case TM-02: higher-value cross-border activity</x:v>
      </x:c>
      <x:c r="H26" t="str">
        <x:f>IFERROR(VLOOKUP(C26,Customers!$A$2:$F$9,2,FALSE),"NOT FOUND")</x:f>
        <x:v>Atlas Imports</x:v>
      </x:c>
      <x:c r="I26" t="str">
        <x:f>IFERROR(VLOOKUP(C26,Customers!$A$2:$F$9,4,FALSE),"NOT FOUND")</x:f>
        <x:v>High</x:v>
      </x:c>
      <x:c r="J26" t="str">
        <x:f>IF(AND(D26="Cash Deposit",E26&gt;=9000),"REVIEW - TRAINING THRESHOLD",IF(AND(D26="International Wire",E26&gt;=13000),"REVIEW - CROSS-BORDER",""))</x:f>
        <x:v>REVIEW - CROSS-BORDER</x:v>
      </x:c>
    </x:row>
    <x:row r="27">
      <x:c r="A27" t="str">
        <x:v>T0026</x:v>
      </x:c>
      <x:c r="B27" t="str">
        <x:v>2026-08-20</x:v>
      </x:c>
      <x:c r="C27" t="str">
        <x:v>C003</x:v>
      </x:c>
      <x:c r="D27" t="str">
        <x:v>International Wire</x:v>
      </x:c>
      <x:c r="E27" s="2" t="n">
        <x:v>16200</x:v>
      </x:c>
      <x:c r="F27" t="str">
        <x:v>Country X</x:v>
      </x:c>
      <x:c r="G27" t="str">
        <x:v>Case TM-02: higher-value cross-border activity</x:v>
      </x:c>
      <x:c r="H27" t="str">
        <x:f>IFERROR(VLOOKUP(C27,Customers!$A$2:$F$9,2,FALSE),"NOT FOUND")</x:f>
        <x:v>Atlas Imports</x:v>
      </x:c>
      <x:c r="I27" t="str">
        <x:f>IFERROR(VLOOKUP(C27,Customers!$A$2:$F$9,4,FALSE),"NOT FOUND")</x:f>
        <x:v>High</x:v>
      </x:c>
      <x:c r="J27" t="str">
        <x:f>IF(AND(D27="Cash Deposit",E27&gt;=9000),"REVIEW - TRAINING THRESHOLD",IF(AND(D27="International Wire",E27&gt;=13000),"REVIEW - CROSS-BORDER",""))</x:f>
        <x:v>REVIEW - CROSS-BORDER</x:v>
      </x:c>
    </x:row>
    <x:row r="28">
      <x:c r="A28" t="str">
        <x:v>T0027</x:v>
      </x:c>
      <x:c r="B28" t="str">
        <x:v>2026-08-20</x:v>
      </x:c>
      <x:c r="C28" t="str">
        <x:v>C003</x:v>
      </x:c>
      <x:c r="D28" t="str">
        <x:v>International Wire</x:v>
      </x:c>
      <x:c r="E28" s="2" t="n">
        <x:v>13800</x:v>
      </x:c>
      <x:c r="F28" t="str">
        <x:v>Country X</x:v>
      </x:c>
      <x:c r="G28" t="str">
        <x:v>Case TM-02: higher-value cross-border activity</x:v>
      </x:c>
      <x:c r="H28" t="str">
        <x:f>IFERROR(VLOOKUP(C28,Customers!$A$2:$F$9,2,FALSE),"NOT FOUND")</x:f>
        <x:v>Atlas Imports</x:v>
      </x:c>
      <x:c r="I28" t="str">
        <x:f>IFERROR(VLOOKUP(C28,Customers!$A$2:$F$9,4,FALSE),"NOT FOUND")</x:f>
        <x:v>High</x:v>
      </x:c>
      <x:c r="J28" t="str">
        <x:f>IF(AND(D28="Cash Deposit",E28&gt;=9000),"REVIEW - TRAINING THRESHOLD",IF(AND(D28="International Wire",E28&gt;=13000),"REVIEW - CROSS-BORDER",""))</x:f>
        <x:v>REVIEW - CROSS-BORDER</x:v>
      </x:c>
    </x:row>
    <x:row r="29">
      <x:c r="A29" t="str">
        <x:v>T0028</x:v>
      </x:c>
      <x:c r="B29" t="str">
        <x:v>2026-08-03</x:v>
      </x:c>
      <x:c r="C29" t="str">
        <x:v>C005</x:v>
      </x:c>
      <x:c r="D29" t="str">
        <x:v>Domestic Wire</x:v>
      </x:c>
      <x:c r="E29" s="2" t="n">
        <x:v>2388.6</x:v>
      </x:c>
      <x:c r="F29" t="str">
        <x:v>US</x:v>
      </x:c>
      <x:c r="G29" t="str">
        <x:v>Routine synthetic activity</x:v>
      </x:c>
      <x:c r="H29" t="str">
        <x:f>IFERROR(VLOOKUP(C29,Customers!$A$2:$F$9,2,FALSE),"NOT FOUND")</x:f>
        <x:v>River Bend Services</x:v>
      </x:c>
      <x:c r="I29" t="str">
        <x:f>IFERROR(VLOOKUP(C29,Customers!$A$2:$F$9,4,FALSE),"NOT FOUND")</x:f>
        <x:v>Medium</x:v>
      </x:c>
      <x:c r="J29" t="str">
        <x:f>IF(AND(D29="Cash Deposit",E29&gt;=9000),"REVIEW - TRAINING THRESHOLD",IF(AND(D29="International Wire",E29&gt;=13000),"REVIEW - CROSS-BORDER",""))</x:f>
      </x:c>
    </x:row>
    <x:row r="30">
      <x:c r="A30" t="str">
        <x:v>T0029</x:v>
      </x:c>
      <x:c r="B30" t="str">
        <x:v>2026-08-06</x:v>
      </x:c>
      <x:c r="C30" t="str">
        <x:v>C004</x:v>
      </x:c>
      <x:c r="D30" t="str">
        <x:v>ACH Debit</x:v>
      </x:c>
      <x:c r="E30" s="2" t="n">
        <x:v>2241.05</x:v>
      </x:c>
      <x:c r="F30" t="str">
        <x:v>US</x:v>
      </x:c>
      <x:c r="G30" t="str">
        <x:v>Routine synthetic activity</x:v>
      </x:c>
      <x:c r="H30" t="str">
        <x:f>IFERROR(VLOOKUP(C30,Customers!$A$2:$F$9,2,FALSE),"NOT FOUND")</x:f>
        <x:v>Luna Cafe</x:v>
      </x:c>
      <x:c r="I30" t="str">
        <x:f>IFERROR(VLOOKUP(C30,Customers!$A$2:$F$9,4,FALSE),"NOT FOUND")</x:f>
        <x:v>Low</x:v>
      </x:c>
      <x:c r="J30" t="str">
        <x:f>IF(AND(D30="Cash Deposit",E30&gt;=9000),"REVIEW - TRAINING THRESHOLD",IF(AND(D30="International Wire",E30&gt;=13000),"REVIEW - CROSS-BORDER",""))</x:f>
      </x:c>
    </x:row>
    <x:row r="31">
      <x:c r="A31" t="str">
        <x:v>T0030</x:v>
      </x:c>
      <x:c r="B31" t="str">
        <x:v>2026-08-09</x:v>
      </x:c>
      <x:c r="C31" t="str">
        <x:v>C003</x:v>
      </x:c>
      <x:c r="D31" t="str">
        <x:v>ACH Credit</x:v>
      </x:c>
      <x:c r="E31" s="2" t="n">
        <x:v>3204.27</x:v>
      </x:c>
      <x:c r="F31" t="str">
        <x:v>US</x:v>
      </x:c>
      <x:c r="G31" t="str">
        <x:v>Routine synthetic activity</x:v>
      </x:c>
      <x:c r="H31" t="str">
        <x:f>IFERROR(VLOOKUP(C31,Customers!$A$2:$F$9,2,FALSE),"NOT FOUND")</x:f>
        <x:v>Atlas Imports</x:v>
      </x:c>
      <x:c r="I31" t="str">
        <x:f>IFERROR(VLOOKUP(C31,Customers!$A$2:$F$9,4,FALSE),"NOT FOUND")</x:f>
        <x:v>High</x:v>
      </x:c>
      <x:c r="J31" t="str">
        <x:f>IF(AND(D31="Cash Deposit",E31&gt;=9000),"REVIEW - TRAINING THRESHOLD",IF(AND(D31="International Wire",E31&gt;=13000),"REVIEW - CROSS-BORDER",""))</x:f>
      </x:c>
    </x:row>
    <x:row r="32">
      <x:c r="A32" t="str">
        <x:v>T0031</x:v>
      </x:c>
      <x:c r="B32" t="str">
        <x:v>2026-08-12</x:v>
      </x:c>
      <x:c r="C32" t="str">
        <x:v>C002</x:v>
      </x:c>
      <x:c r="D32" t="str">
        <x:v>Card Settlement</x:v>
      </x:c>
      <x:c r="E32" s="2" t="n">
        <x:v>3337.31</x:v>
      </x:c>
      <x:c r="F32" t="str">
        <x:v>US</x:v>
      </x:c>
      <x:c r="G32" t="str">
        <x:v>Routine synthetic activity</x:v>
      </x:c>
      <x:c r="H32" t="str">
        <x:f>IFERROR(VLOOKUP(C32,Customers!$A$2:$F$9,2,FALSE),"NOT FOUND")</x:f>
        <x:v>Blue Heron Design</x:v>
      </x:c>
      <x:c r="I32" t="str">
        <x:f>IFERROR(VLOOKUP(C32,Customers!$A$2:$F$9,4,FALSE),"NOT FOUND")</x:f>
        <x:v>Low</x:v>
      </x:c>
      <x:c r="J32" t="str">
        <x:f>IF(AND(D32="Cash Deposit",E32&gt;=9000),"REVIEW - TRAINING THRESHOLD",IF(AND(D32="International Wire",E32&gt;=13000),"REVIEW - CROSS-BORDER",""))</x:f>
      </x:c>
    </x:row>
    <x:row r="33">
      <x:c r="A33" t="str">
        <x:v>T0032</x:v>
      </x:c>
      <x:c r="B33" t="str">
        <x:v>2026-08-15</x:v>
      </x:c>
      <x:c r="C33" t="str">
        <x:v>C001</x:v>
      </x:c>
      <x:c r="D33" t="str">
        <x:v>Cash Deposit</x:v>
      </x:c>
      <x:c r="E33" s="2" t="n">
        <x:v>4190.14</x:v>
      </x:c>
      <x:c r="F33" t="str">
        <x:v>US</x:v>
      </x:c>
      <x:c r="G33" t="str">
        <x:v>Routine synthetic activity</x:v>
      </x:c>
      <x:c r="H33" t="str">
        <x:f>IFERROR(VLOOKUP(C33,Customers!$A$2:$F$9,2,FALSE),"NOT FOUND")</x:f>
        <x:v>Cedar Market</x:v>
      </x:c>
      <x:c r="I33" t="str">
        <x:f>IFERROR(VLOOKUP(C33,Customers!$A$2:$F$9,4,FALSE),"NOT FOUND")</x:f>
        <x:v>Medium</x:v>
      </x:c>
      <x:c r="J33" t="str">
        <x:f>IF(AND(D33="Cash Deposit",E33&gt;=9000),"REVIEW - TRAINING THRESHOLD",IF(AND(D33="International Wire",E33&gt;=13000),"REVIEW - CROSS-BORDER",""))</x:f>
      </x:c>
    </x:row>
    <x:row r="34">
      <x:c r="A34" t="str">
        <x:v>T0033</x:v>
      </x:c>
      <x:c r="B34" t="str">
        <x:v>2026-08-18</x:v>
      </x:c>
      <x:c r="C34" t="str">
        <x:v>C008</x:v>
      </x:c>
      <x:c r="D34" t="str">
        <x:v>Domestic Wire</x:v>
      </x:c>
      <x:c r="E34" s="2" t="n">
        <x:v>878.77</x:v>
      </x:c>
      <x:c r="F34" t="str">
        <x:v>US</x:v>
      </x:c>
      <x:c r="G34" t="str">
        <x:v>Routine synthetic activity</x:v>
      </x:c>
      <x:c r="H34" t="str">
        <x:f>IFERROR(VLOOKUP(C34,Customers!$A$2:$F$9,2,FALSE),"NOT FOUND")</x:f>
        <x:v>Orchid Logistics</x:v>
      </x:c>
      <x:c r="I34" t="str">
        <x:f>IFERROR(VLOOKUP(C34,Customers!$A$2:$F$9,4,FALSE),"NOT FOUND")</x:f>
        <x:v>High</x:v>
      </x:c>
      <x:c r="J34" t="str">
        <x:f>IF(AND(D34="Cash Deposit",E34&gt;=9000),"REVIEW - TRAINING THRESHOLD",IF(AND(D34="International Wire",E34&gt;=13000),"REVIEW - CROSS-BORDER",""))</x:f>
      </x:c>
    </x:row>
    <x:row r="35">
      <x:c r="A35" t="str">
        <x:v>T0034</x:v>
      </x:c>
      <x:c r="B35" t="str">
        <x:v>2026-08-21</x:v>
      </x:c>
      <x:c r="C35" t="str">
        <x:v>C007</x:v>
      </x:c>
      <x:c r="D35" t="str">
        <x:v>ACH Debit</x:v>
      </x:c>
      <x:c r="E35" s="2" t="n">
        <x:v>3449.76</x:v>
      </x:c>
      <x:c r="F35" t="str">
        <x:v>US</x:v>
      </x:c>
      <x:c r="G35" t="str">
        <x:v>Routine synthetic activity</x:v>
      </x:c>
      <x:c r="H35" t="str">
        <x:f>IFERROR(VLOOKUP(C35,Customers!$A$2:$F$9,2,FALSE),"NOT FOUND")</x:f>
        <x:v>Summit Supplies</x:v>
      </x:c>
      <x:c r="I35" t="str">
        <x:f>IFERROR(VLOOKUP(C35,Customers!$A$2:$F$9,4,FALSE),"NOT FOUND")</x:f>
        <x:v>Medium</x:v>
      </x:c>
      <x:c r="J35" t="str">
        <x:f>IF(AND(D35="Cash Deposit",E35&gt;=9000),"REVIEW - TRAINING THRESHOLD",IF(AND(D35="International Wire",E35&gt;=13000),"REVIEW - CROSS-BORDER",""))</x:f>
      </x:c>
    </x:row>
    <x:row r="36">
      <x:c r="A36" t="str">
        <x:v>T0035</x:v>
      </x:c>
      <x:c r="B36" t="str">
        <x:v>2026-08-24</x:v>
      </x:c>
      <x:c r="C36" t="str">
        <x:v>C006</x:v>
      </x:c>
      <x:c r="D36" t="str">
        <x:v>ACH Credit</x:v>
      </x:c>
      <x:c r="E36" s="2" t="n">
        <x:v>1067.05</x:v>
      </x:c>
      <x:c r="F36" t="str">
        <x:v>US</x:v>
      </x:c>
      <x:c r="G36" t="str">
        <x:v>Routine synthetic activity</x:v>
      </x:c>
      <x:c r="H36" t="str">
        <x:f>IFERROR(VLOOKUP(C36,Customers!$A$2:$F$9,2,FALSE),"NOT FOUND")</x:f>
        <x:v>Maple Books</x:v>
      </x:c>
      <x:c r="I36" t="str">
        <x:f>IFERROR(VLOOKUP(C36,Customers!$A$2:$F$9,4,FALSE),"NOT FOUND")</x:f>
        <x:v>Low</x:v>
      </x:c>
      <x:c r="J36" t="str">
        <x:f>IF(AND(D36="Cash Deposit",E36&gt;=9000),"REVIEW - TRAINING THRESHOLD",IF(AND(D36="International Wire",E36&gt;=13000),"REVIEW - CROSS-BORDER",""))</x:f>
      </x:c>
    </x:row>
    <x:row r="37">
      <x:c r="A37" t="str">
        <x:v>T0036</x:v>
      </x:c>
      <x:c r="B37" t="str">
        <x:v>2026-08-27</x:v>
      </x:c>
      <x:c r="C37" t="str">
        <x:v>C005</x:v>
      </x:c>
      <x:c r="D37" t="str">
        <x:v>Card Settlement</x:v>
      </x:c>
      <x:c r="E37" s="2" t="n">
        <x:v>3672.26</x:v>
      </x:c>
      <x:c r="F37" t="str">
        <x:v>US</x:v>
      </x:c>
      <x:c r="G37" t="str">
        <x:v>Routine synthetic activity</x:v>
      </x:c>
      <x:c r="H37" t="str">
        <x:f>IFERROR(VLOOKUP(C37,Customers!$A$2:$F$9,2,FALSE),"NOT FOUND")</x:f>
        <x:v>River Bend Services</x:v>
      </x:c>
      <x:c r="I37" t="str">
        <x:f>IFERROR(VLOOKUP(C37,Customers!$A$2:$F$9,4,FALSE),"NOT FOUND")</x:f>
        <x:v>Medium</x:v>
      </x:c>
      <x:c r="J37" t="str">
        <x:f>IF(AND(D37="Cash Deposit",E37&gt;=9000),"REVIEW - TRAINING THRESHOLD",IF(AND(D37="International Wire",E37&gt;=13000),"REVIEW - CROSS-BORDER",""))</x:f>
      </x:c>
    </x:row>
    <x:row r="38">
      <x:c r="A38" t="str">
        <x:v>T0037</x:v>
      </x:c>
      <x:c r="B38" t="str">
        <x:v>2026-08-30</x:v>
      </x:c>
      <x:c r="C38" t="str">
        <x:v>C004</x:v>
      </x:c>
      <x:c r="D38" t="str">
        <x:v>Cash Deposit</x:v>
      </x:c>
      <x:c r="E38" s="2" t="n">
        <x:v>2240.49</x:v>
      </x:c>
      <x:c r="F38" t="str">
        <x:v>US</x:v>
      </x:c>
      <x:c r="G38" t="str">
        <x:v>Routine synthetic activity</x:v>
      </x:c>
      <x:c r="H38" t="str">
        <x:f>IFERROR(VLOOKUP(C38,Customers!$A$2:$F$9,2,FALSE),"NOT FOUND")</x:f>
        <x:v>Luna Cafe</x:v>
      </x:c>
      <x:c r="I38" t="str">
        <x:f>IFERROR(VLOOKUP(C38,Customers!$A$2:$F$9,4,FALSE),"NOT FOUND")</x:f>
        <x:v>Low</x:v>
      </x:c>
      <x:c r="J38" t="str">
        <x:f>IF(AND(D38="Cash Deposit",E38&gt;=9000),"REVIEW - TRAINING THRESHOLD",IF(AND(D38="International Wire",E38&gt;=13000),"REVIEW - CROSS-BORDER",""))</x:f>
      </x:c>
    </x:row>
    <x:row r="39">
      <x:c r="A39" t="str">
        <x:v>T0038</x:v>
      </x:c>
      <x:c r="B39" t="str">
        <x:v>2026-08-05</x:v>
      </x:c>
      <x:c r="C39" t="str">
        <x:v>C003</x:v>
      </x:c>
      <x:c r="D39" t="str">
        <x:v>Domestic Wire</x:v>
      </x:c>
      <x:c r="E39" s="2" t="n">
        <x:v>2079.25</x:v>
      </x:c>
      <x:c r="F39" t="str">
        <x:v>US</x:v>
      </x:c>
      <x:c r="G39" t="str">
        <x:v>Routine synthetic activity</x:v>
      </x:c>
      <x:c r="H39" t="str">
        <x:f>IFERROR(VLOOKUP(C39,Customers!$A$2:$F$9,2,FALSE),"NOT FOUND")</x:f>
        <x:v>Atlas Imports</x:v>
      </x:c>
      <x:c r="I39" t="str">
        <x:f>IFERROR(VLOOKUP(C39,Customers!$A$2:$F$9,4,FALSE),"NOT FOUND")</x:f>
        <x:v>High</x:v>
      </x:c>
      <x:c r="J39" t="str">
        <x:f>IF(AND(D39="Cash Deposit",E39&gt;=9000),"REVIEW - TRAINING THRESHOLD",IF(AND(D39="International Wire",E39&gt;=13000),"REVIEW - CROSS-BORDER",""))</x:f>
      </x:c>
    </x:row>
    <x:row r="40">
      <x:c r="A40" t="str">
        <x:v>T0039</x:v>
      </x:c>
      <x:c r="B40" t="str">
        <x:v>2026-08-08</x:v>
      </x:c>
      <x:c r="C40" t="str">
        <x:v>C002</x:v>
      </x:c>
      <x:c r="D40" t="str">
        <x:v>ACH Debit</x:v>
      </x:c>
      <x:c r="E40" s="2" t="n">
        <x:v>342.71</x:v>
      </x:c>
      <x:c r="F40" t="str">
        <x:v>US</x:v>
      </x:c>
      <x:c r="G40" t="str">
        <x:v>Routine synthetic activity</x:v>
      </x:c>
      <x:c r="H40" t="str">
        <x:f>IFERROR(VLOOKUP(C40,Customers!$A$2:$F$9,2,FALSE),"NOT FOUND")</x:f>
        <x:v>Blue Heron Design</x:v>
      </x:c>
      <x:c r="I40" t="str">
        <x:f>IFERROR(VLOOKUP(C40,Customers!$A$2:$F$9,4,FALSE),"NOT FOUND")</x:f>
        <x:v>Low</x:v>
      </x:c>
      <x:c r="J40" t="str">
        <x:f>IF(AND(D40="Cash Deposit",E40&gt;=9000),"REVIEW - TRAINING THRESHOLD",IF(AND(D40="International Wire",E40&gt;=13000),"REVIEW - CROSS-BORDER",""))</x:f>
      </x:c>
    </x:row>
    <x:row r="41">
      <x:c r="A41" t="str">
        <x:v>T0040</x:v>
      </x:c>
      <x:c r="B41" t="str">
        <x:v>2026-08-11</x:v>
      </x:c>
      <x:c r="C41" t="str">
        <x:v>C001</x:v>
      </x:c>
      <x:c r="D41" t="str">
        <x:v>ACH Credit</x:v>
      </x:c>
      <x:c r="E41" s="2" t="n">
        <x:v>403.09</x:v>
      </x:c>
      <x:c r="F41" t="str">
        <x:v>US</x:v>
      </x:c>
      <x:c r="G41" t="str">
        <x:v>Routine synthetic activity</x:v>
      </x:c>
      <x:c r="H41" t="str">
        <x:f>IFERROR(VLOOKUP(C41,Customers!$A$2:$F$9,2,FALSE),"NOT FOUND")</x:f>
        <x:v>Cedar Market</x:v>
      </x:c>
      <x:c r="I41" t="str">
        <x:f>IFERROR(VLOOKUP(C41,Customers!$A$2:$F$9,4,FALSE),"NOT FOUND")</x:f>
        <x:v>Medium</x:v>
      </x:c>
      <x:c r="J41" t="str">
        <x:f>IF(AND(D41="Cash Deposit",E41&gt;=9000),"REVIEW - TRAINING THRESHOLD",IF(AND(D41="International Wire",E41&gt;=13000),"REVIEW - CROSS-BORDER",""))</x:f>
      </x:c>
    </x:row>
    <x:row r="42">
      <x:c r="A42" t="str">
        <x:v>T0041</x:v>
      </x:c>
      <x:c r="B42" t="str">
        <x:v>2026-08-14</x:v>
      </x:c>
      <x:c r="C42" t="str">
        <x:v>C008</x:v>
      </x:c>
      <x:c r="D42" t="str">
        <x:v>Card Settlement</x:v>
      </x:c>
      <x:c r="E42" s="2" t="n">
        <x:v>2179.86</x:v>
      </x:c>
      <x:c r="F42" t="str">
        <x:v>US</x:v>
      </x:c>
      <x:c r="G42" t="str">
        <x:v>Routine synthetic activity</x:v>
      </x:c>
      <x:c r="H42" t="str">
        <x:f>IFERROR(VLOOKUP(C42,Customers!$A$2:$F$9,2,FALSE),"NOT FOUND")</x:f>
        <x:v>Orchid Logistics</x:v>
      </x:c>
      <x:c r="I42" t="str">
        <x:f>IFERROR(VLOOKUP(C42,Customers!$A$2:$F$9,4,FALSE),"NOT FOUND")</x:f>
        <x:v>High</x:v>
      </x:c>
      <x:c r="J42" t="str">
        <x:f>IF(AND(D42="Cash Deposit",E42&gt;=9000),"REVIEW - TRAINING THRESHOLD",IF(AND(D42="International Wire",E42&gt;=13000),"REVIEW - CROSS-BORDER",""))</x:f>
      </x:c>
    </x:row>
    <x:row r="43">
      <x:c r="A43" t="str">
        <x:v>T0042</x:v>
      </x:c>
      <x:c r="B43" t="str">
        <x:v>2026-08-17</x:v>
      </x:c>
      <x:c r="C43" t="str">
        <x:v>C007</x:v>
      </x:c>
      <x:c r="D43" t="str">
        <x:v>Cash Deposit</x:v>
      </x:c>
      <x:c r="E43" s="2" t="n">
        <x:v>458.08</x:v>
      </x:c>
      <x:c r="F43" t="str">
        <x:v>US</x:v>
      </x:c>
      <x:c r="G43" t="str">
        <x:v>Routine synthetic activity</x:v>
      </x:c>
      <x:c r="H43" t="str">
        <x:f>IFERROR(VLOOKUP(C43,Customers!$A$2:$F$9,2,FALSE),"NOT FOUND")</x:f>
        <x:v>Summit Supplies</x:v>
      </x:c>
      <x:c r="I43" t="str">
        <x:f>IFERROR(VLOOKUP(C43,Customers!$A$2:$F$9,4,FALSE),"NOT FOUND")</x:f>
        <x:v>Medium</x:v>
      </x:c>
      <x:c r="J43" t="str">
        <x:f>IF(AND(D43="Cash Deposit",E43&gt;=9000),"REVIEW - TRAINING THRESHOLD",IF(AND(D43="International Wire",E43&gt;=13000),"REVIEW - CROSS-BORDER",""))</x:f>
      </x:c>
    </x:row>
    <x:row r="44">
      <x:c r="A44" t="str">
        <x:v>T0043</x:v>
      </x:c>
      <x:c r="B44" t="str">
        <x:v>2026-08-20</x:v>
      </x:c>
      <x:c r="C44" t="str">
        <x:v>C006</x:v>
      </x:c>
      <x:c r="D44" t="str">
        <x:v>Domestic Wire</x:v>
      </x:c>
      <x:c r="E44" s="2" t="n">
        <x:v>1657.52</x:v>
      </x:c>
      <x:c r="F44" t="str">
        <x:v>US</x:v>
      </x:c>
      <x:c r="G44" t="str">
        <x:v>Routine synthetic activity</x:v>
      </x:c>
      <x:c r="H44" t="str">
        <x:f>IFERROR(VLOOKUP(C44,Customers!$A$2:$F$9,2,FALSE),"NOT FOUND")</x:f>
        <x:v>Maple Books</x:v>
      </x:c>
      <x:c r="I44" t="str">
        <x:f>IFERROR(VLOOKUP(C44,Customers!$A$2:$F$9,4,FALSE),"NOT FOUND")</x:f>
        <x:v>Low</x:v>
      </x:c>
      <x:c r="J44" t="str">
        <x:f>IF(AND(D44="Cash Deposit",E44&gt;=9000),"REVIEW - TRAINING THRESHOLD",IF(AND(D44="International Wire",E44&gt;=13000),"REVIEW - CROSS-BORDER",""))</x:f>
      </x:c>
    </x:row>
    <x:row r="45">
      <x:c r="A45" t="str">
        <x:v>T0044</x:v>
      </x:c>
      <x:c r="B45" t="str">
        <x:v>2026-08-23</x:v>
      </x:c>
      <x:c r="C45" t="str">
        <x:v>C005</x:v>
      </x:c>
      <x:c r="D45" t="str">
        <x:v>ACH Debit</x:v>
      </x:c>
      <x:c r="E45" s="2" t="n">
        <x:v>1518.48</x:v>
      </x:c>
      <x:c r="F45" t="str">
        <x:v>US</x:v>
      </x:c>
      <x:c r="G45" t="str">
        <x:v>Routine synthetic activity</x:v>
      </x:c>
      <x:c r="H45" t="str">
        <x:f>IFERROR(VLOOKUP(C45,Customers!$A$2:$F$9,2,FALSE),"NOT FOUND")</x:f>
        <x:v>River Bend Services</x:v>
      </x:c>
      <x:c r="I45" t="str">
        <x:f>IFERROR(VLOOKUP(C45,Customers!$A$2:$F$9,4,FALSE),"NOT FOUND")</x:f>
        <x:v>Medium</x:v>
      </x:c>
      <x:c r="J45" t="str">
        <x:f>IF(AND(D45="Cash Deposit",E45&gt;=9000),"REVIEW - TRAINING THRESHOLD",IF(AND(D45="International Wire",E45&gt;=13000),"REVIEW - CROSS-BORDER",""))</x:f>
      </x:c>
    </x:row>
    <x:row r="46">
      <x:c r="A46" t="str">
        <x:v>T0045</x:v>
      </x:c>
      <x:c r="B46" t="str">
        <x:v>2026-08-26</x:v>
      </x:c>
      <x:c r="C46" t="str">
        <x:v>C004</x:v>
      </x:c>
      <x:c r="D46" t="str">
        <x:v>ACH Credit</x:v>
      </x:c>
      <x:c r="E46" s="2" t="n">
        <x:v>3072.76</x:v>
      </x:c>
      <x:c r="F46" t="str">
        <x:v>US</x:v>
      </x:c>
      <x:c r="G46" t="str">
        <x:v>Routine synthetic activity</x:v>
      </x:c>
      <x:c r="H46" t="str">
        <x:f>IFERROR(VLOOKUP(C46,Customers!$A$2:$F$9,2,FALSE),"NOT FOUND")</x:f>
        <x:v>Luna Cafe</x:v>
      </x:c>
      <x:c r="I46" t="str">
        <x:f>IFERROR(VLOOKUP(C46,Customers!$A$2:$F$9,4,FALSE),"NOT FOUND")</x:f>
        <x:v>Low</x:v>
      </x:c>
      <x:c r="J46" t="str">
        <x:f>IF(AND(D46="Cash Deposit",E46&gt;=9000),"REVIEW - TRAINING THRESHOLD",IF(AND(D46="International Wire",E46&gt;=13000),"REVIEW - CROSS-BORDER",""))</x:f>
      </x:c>
    </x:row>
    <x:row r="47">
      <x:c r="A47" t="str">
        <x:v>T0046</x:v>
      </x:c>
      <x:c r="B47" t="str">
        <x:v>2026-08-29</x:v>
      </x:c>
      <x:c r="C47" t="str">
        <x:v>C003</x:v>
      </x:c>
      <x:c r="D47" t="str">
        <x:v>Card Settlement</x:v>
      </x:c>
      <x:c r="E47" s="2" t="n">
        <x:v>3863.85</x:v>
      </x:c>
      <x:c r="F47" t="str">
        <x:v>US</x:v>
      </x:c>
      <x:c r="G47" t="str">
        <x:v>Routine synthetic activity</x:v>
      </x:c>
      <x:c r="H47" t="str">
        <x:f>IFERROR(VLOOKUP(C47,Customers!$A$2:$F$9,2,FALSE),"NOT FOUND")</x:f>
        <x:v>Atlas Imports</x:v>
      </x:c>
      <x:c r="I47" t="str">
        <x:f>IFERROR(VLOOKUP(C47,Customers!$A$2:$F$9,4,FALSE),"NOT FOUND")</x:f>
        <x:v>High</x:v>
      </x:c>
      <x:c r="J47" t="str">
        <x:f>IF(AND(D47="Cash Deposit",E47&gt;=9000),"REVIEW - TRAINING THRESHOLD",IF(AND(D47="International Wire",E47&gt;=13000),"REVIEW - CROSS-BORDER",""))</x:f>
      </x:c>
    </x:row>
    <x:row r="48">
      <x:c r="A48" t="str">
        <x:v>T0047</x:v>
      </x:c>
      <x:c r="B48" t="str">
        <x:v>2026-08-04</x:v>
      </x:c>
      <x:c r="C48" t="str">
        <x:v>C002</x:v>
      </x:c>
      <x:c r="D48" t="str">
        <x:v>Cash Deposit</x:v>
      </x:c>
      <x:c r="E48" s="2" t="n">
        <x:v>2778.15</x:v>
      </x:c>
      <x:c r="F48" t="str">
        <x:v>US</x:v>
      </x:c>
      <x:c r="G48" t="str">
        <x:v>Routine synthetic activity</x:v>
      </x:c>
      <x:c r="H48" t="str">
        <x:f>IFERROR(VLOOKUP(C48,Customers!$A$2:$F$9,2,FALSE),"NOT FOUND")</x:f>
        <x:v>Blue Heron Design</x:v>
      </x:c>
      <x:c r="I48" t="str">
        <x:f>IFERROR(VLOOKUP(C48,Customers!$A$2:$F$9,4,FALSE),"NOT FOUND")</x:f>
        <x:v>Low</x:v>
      </x:c>
      <x:c r="J48" t="str">
        <x:f>IF(AND(D48="Cash Deposit",E48&gt;=9000),"REVIEW - TRAINING THRESHOLD",IF(AND(D48="International Wire",E48&gt;=13000),"REVIEW - CROSS-BORDER",""))</x:f>
      </x:c>
    </x:row>
    <x:row r="49">
      <x:c r="A49" t="str">
        <x:v>T0048</x:v>
      </x:c>
      <x:c r="B49" t="str">
        <x:v>2026-08-07</x:v>
      </x:c>
      <x:c r="C49" t="str">
        <x:v>C001</x:v>
      </x:c>
      <x:c r="D49" t="str">
        <x:v>Domestic Wire</x:v>
      </x:c>
      <x:c r="E49" s="2" t="n">
        <x:v>513.82</x:v>
      </x:c>
      <x:c r="F49" t="str">
        <x:v>US</x:v>
      </x:c>
      <x:c r="G49" t="str">
        <x:v>Routine synthetic activity</x:v>
      </x:c>
      <x:c r="H49" t="str">
        <x:f>IFERROR(VLOOKUP(C49,Customers!$A$2:$F$9,2,FALSE),"NOT FOUND")</x:f>
        <x:v>Cedar Market</x:v>
      </x:c>
      <x:c r="I49" t="str">
        <x:f>IFERROR(VLOOKUP(C49,Customers!$A$2:$F$9,4,FALSE),"NOT FOUND")</x:f>
        <x:v>Medium</x:v>
      </x:c>
      <x:c r="J49" t="str">
        <x:f>IF(AND(D49="Cash Deposit",E49&gt;=9000),"REVIEW - TRAINING THRESHOLD",IF(AND(D49="International Wire",E49&gt;=13000),"REVIEW - CROSS-BORDER",""))</x:f>
      </x:c>
    </x:row>
    <x:row r="50">
      <x:c r="A50" t="str">
        <x:v>T0049</x:v>
      </x:c>
      <x:c r="B50" t="str">
        <x:v>2026-08-10</x:v>
      </x:c>
      <x:c r="C50" t="str">
        <x:v>C008</x:v>
      </x:c>
      <x:c r="D50" t="str">
        <x:v>ACH Debit</x:v>
      </x:c>
      <x:c r="E50" s="2" t="n">
        <x:v>3082.54</x:v>
      </x:c>
      <x:c r="F50" t="str">
        <x:v>US</x:v>
      </x:c>
      <x:c r="G50" t="str">
        <x:v>Routine synthetic activity</x:v>
      </x:c>
      <x:c r="H50" t="str">
        <x:f>IFERROR(VLOOKUP(C50,Customers!$A$2:$F$9,2,FALSE),"NOT FOUND")</x:f>
        <x:v>Orchid Logistics</x:v>
      </x:c>
      <x:c r="I50" t="str">
        <x:f>IFERROR(VLOOKUP(C50,Customers!$A$2:$F$9,4,FALSE),"NOT FOUND")</x:f>
        <x:v>High</x:v>
      </x:c>
      <x:c r="J50" t="str">
        <x:f>IF(AND(D50="Cash Deposit",E50&gt;=9000),"REVIEW - TRAINING THRESHOLD",IF(AND(D50="International Wire",E50&gt;=13000),"REVIEW - CROSS-BORDER",""))</x:f>
      </x:c>
    </x:row>
    <x:row r="51">
      <x:c r="A51" t="str">
        <x:v>T0050</x:v>
      </x:c>
      <x:c r="B51" t="str">
        <x:v>2026-08-13</x:v>
      </x:c>
      <x:c r="C51" t="str">
        <x:v>C007</x:v>
      </x:c>
      <x:c r="D51" t="str">
        <x:v>ACH Credit</x:v>
      </x:c>
      <x:c r="E51" s="2" t="n">
        <x:v>3681.58</x:v>
      </x:c>
      <x:c r="F51" t="str">
        <x:v>US</x:v>
      </x:c>
      <x:c r="G51" t="str">
        <x:v>Routine synthetic activity</x:v>
      </x:c>
      <x:c r="H51" t="str">
        <x:f>IFERROR(VLOOKUP(C51,Customers!$A$2:$F$9,2,FALSE),"NOT FOUND")</x:f>
        <x:v>Summit Supplies</x:v>
      </x:c>
      <x:c r="I51" t="str">
        <x:f>IFERROR(VLOOKUP(C51,Customers!$A$2:$F$9,4,FALSE),"NOT FOUND")</x:f>
        <x:v>Medium</x:v>
      </x:c>
      <x:c r="J51" t="str">
        <x:f>IF(AND(D51="Cash Deposit",E51&gt;=9000),"REVIEW - TRAINING THRESHOLD",IF(AND(D51="International Wire",E51&gt;=13000),"REVIEW - CROSS-BORDER",""))</x:f>
      </x:c>
    </x:row>
    <x:row r="52">
      <x:c r="A52" t="str">
        <x:v>T0051</x:v>
      </x:c>
      <x:c r="B52" t="str">
        <x:v>2026-08-16</x:v>
      </x:c>
      <x:c r="C52" t="str">
        <x:v>C006</x:v>
      </x:c>
      <x:c r="D52" t="str">
        <x:v>Card Settlement</x:v>
      </x:c>
      <x:c r="E52" s="2" t="n">
        <x:v>2790.48</x:v>
      </x:c>
      <x:c r="F52" t="str">
        <x:v>US</x:v>
      </x:c>
      <x:c r="G52" t="str">
        <x:v>Routine synthetic activity</x:v>
      </x:c>
      <x:c r="H52" t="str">
        <x:f>IFERROR(VLOOKUP(C52,Customers!$A$2:$F$9,2,FALSE),"NOT FOUND")</x:f>
        <x:v>Maple Books</x:v>
      </x:c>
      <x:c r="I52" t="str">
        <x:f>IFERROR(VLOOKUP(C52,Customers!$A$2:$F$9,4,FALSE),"NOT FOUND")</x:f>
        <x:v>Low</x:v>
      </x:c>
      <x:c r="J52" t="str">
        <x:f>IF(AND(D52="Cash Deposit",E52&gt;=9000),"REVIEW - TRAINING THRESHOLD",IF(AND(D52="International Wire",E52&gt;=13000),"REVIEW - CROSS-BORDER",""))</x:f>
      </x:c>
    </x:row>
    <x:row r="53">
      <x:c r="A53" t="str">
        <x:v>T0052</x:v>
      </x:c>
      <x:c r="B53" t="str">
        <x:v>2026-08-19</x:v>
      </x:c>
      <x:c r="C53" t="str">
        <x:v>C005</x:v>
      </x:c>
      <x:c r="D53" t="str">
        <x:v>Cash Deposit</x:v>
      </x:c>
      <x:c r="E53" s="2" t="n">
        <x:v>438.44</x:v>
      </x:c>
      <x:c r="F53" t="str">
        <x:v>US</x:v>
      </x:c>
      <x:c r="G53" t="str">
        <x:v>Routine synthetic activity</x:v>
      </x:c>
      <x:c r="H53" t="str">
        <x:f>IFERROR(VLOOKUP(C53,Customers!$A$2:$F$9,2,FALSE),"NOT FOUND")</x:f>
        <x:v>River Bend Services</x:v>
      </x:c>
      <x:c r="I53" t="str">
        <x:f>IFERROR(VLOOKUP(C53,Customers!$A$2:$F$9,4,FALSE),"NOT FOUND")</x:f>
        <x:v>Medium</x:v>
      </x:c>
      <x:c r="J53" t="str">
        <x:f>IF(AND(D53="Cash Deposit",E53&gt;=9000),"REVIEW - TRAINING THRESHOLD",IF(AND(D53="International Wire",E53&gt;=13000),"REVIEW - CROSS-BORDER",""))</x:f>
      </x:c>
    </x:row>
    <x:row r="54">
      <x:c r="A54" t="str">
        <x:v>T0053</x:v>
      </x:c>
      <x:c r="B54" t="str">
        <x:v>2026-08-22</x:v>
      </x:c>
      <x:c r="C54" t="str">
        <x:v>C004</x:v>
      </x:c>
      <x:c r="D54" t="str">
        <x:v>Domestic Wire</x:v>
      </x:c>
      <x:c r="E54" s="2" t="n">
        <x:v>483.87</x:v>
      </x:c>
      <x:c r="F54" t="str">
        <x:v>US</x:v>
      </x:c>
      <x:c r="G54" t="str">
        <x:v>Routine synthetic activity</x:v>
      </x:c>
      <x:c r="H54" t="str">
        <x:f>IFERROR(VLOOKUP(C54,Customers!$A$2:$F$9,2,FALSE),"NOT FOUND")</x:f>
        <x:v>Luna Cafe</x:v>
      </x:c>
      <x:c r="I54" t="str">
        <x:f>IFERROR(VLOOKUP(C54,Customers!$A$2:$F$9,4,FALSE),"NOT FOUND")</x:f>
        <x:v>Low</x:v>
      </x:c>
      <x:c r="J54" t="str">
        <x:f>IF(AND(D54="Cash Deposit",E54&gt;=9000),"REVIEW - TRAINING THRESHOLD",IF(AND(D54="International Wire",E54&gt;=13000),"REVIEW - CROSS-BORDER",""))</x:f>
      </x:c>
    </x:row>
    <x:row r="55">
      <x:c r="A55" t="str">
        <x:v>T0054</x:v>
      </x:c>
      <x:c r="B55" t="str">
        <x:v>2026-08-25</x:v>
      </x:c>
      <x:c r="C55" t="str">
        <x:v>C003</x:v>
      </x:c>
      <x:c r="D55" t="str">
        <x:v>ACH Debit</x:v>
      </x:c>
      <x:c r="E55" s="2" t="n">
        <x:v>1025.97</x:v>
      </x:c>
      <x:c r="F55" t="str">
        <x:v>US</x:v>
      </x:c>
      <x:c r="G55" t="str">
        <x:v>Routine synthetic activity</x:v>
      </x:c>
      <x:c r="H55" t="str">
        <x:f>IFERROR(VLOOKUP(C55,Customers!$A$2:$F$9,2,FALSE),"NOT FOUND")</x:f>
        <x:v>Atlas Imports</x:v>
      </x:c>
      <x:c r="I55" t="str">
        <x:f>IFERROR(VLOOKUP(C55,Customers!$A$2:$F$9,4,FALSE),"NOT FOUND")</x:f>
        <x:v>High</x:v>
      </x:c>
      <x:c r="J55" t="str">
        <x:f>IF(AND(D55="Cash Deposit",E55&gt;=9000),"REVIEW - TRAINING THRESHOLD",IF(AND(D55="International Wire",E55&gt;=13000),"REVIEW - CROSS-BORDER",""))</x:f>
      </x:c>
    </x:row>
    <x:row r="56">
      <x:c r="A56" t="str">
        <x:v>T0055</x:v>
      </x:c>
      <x:c r="B56" t="str">
        <x:v>2026-08-28</x:v>
      </x:c>
      <x:c r="C56" t="str">
        <x:v>C002</x:v>
      </x:c>
      <x:c r="D56" t="str">
        <x:v>ACH Credit</x:v>
      </x:c>
      <x:c r="E56" s="2" t="n">
        <x:v>428.96</x:v>
      </x:c>
      <x:c r="F56" t="str">
        <x:v>US</x:v>
      </x:c>
      <x:c r="G56" t="str">
        <x:v>Routine synthetic activity</x:v>
      </x:c>
      <x:c r="H56" t="str">
        <x:f>IFERROR(VLOOKUP(C56,Customers!$A$2:$F$9,2,FALSE),"NOT FOUND")</x:f>
        <x:v>Blue Heron Design</x:v>
      </x:c>
      <x:c r="I56" t="str">
        <x:f>IFERROR(VLOOKUP(C56,Customers!$A$2:$F$9,4,FALSE),"NOT FOUND")</x:f>
        <x:v>Low</x:v>
      </x:c>
      <x:c r="J56" t="str">
        <x:f>IF(AND(D56="Cash Deposit",E56&gt;=9000),"REVIEW - TRAINING THRESHOLD",IF(AND(D56="International Wire",E56&gt;=13000),"REVIEW - CROSS-BORDER",""))</x:f>
      </x:c>
    </x:row>
    <x:row r="57">
      <x:c r="A57" t="str">
        <x:v>T0056</x:v>
      </x:c>
      <x:c r="B57" t="str">
        <x:v>2026-08-03</x:v>
      </x:c>
      <x:c r="C57" t="str">
        <x:v>C001</x:v>
      </x:c>
      <x:c r="D57" t="str">
        <x:v>Card Settlement</x:v>
      </x:c>
      <x:c r="E57" s="2" t="n">
        <x:v>625.71</x:v>
      </x:c>
      <x:c r="F57" t="str">
        <x:v>US</x:v>
      </x:c>
      <x:c r="G57" t="str">
        <x:v>Routine synthetic activity</x:v>
      </x:c>
      <x:c r="H57" t="str">
        <x:f>IFERROR(VLOOKUP(C57,Customers!$A$2:$F$9,2,FALSE),"NOT FOUND")</x:f>
        <x:v>Cedar Market</x:v>
      </x:c>
      <x:c r="I57" t="str">
        <x:f>IFERROR(VLOOKUP(C57,Customers!$A$2:$F$9,4,FALSE),"NOT FOUND")</x:f>
        <x:v>Medium</x:v>
      </x:c>
      <x:c r="J57" t="str">
        <x:f>IF(AND(D57="Cash Deposit",E57&gt;=9000),"REVIEW - TRAINING THRESHOLD",IF(AND(D57="International Wire",E57&gt;=13000),"REVIEW - CROSS-BORDER",""))</x:f>
      </x:c>
    </x:row>
    <x:row r="58">
      <x:c r="A58" t="str">
        <x:v>T0057</x:v>
      </x:c>
      <x:c r="B58" t="str">
        <x:v>2026-08-06</x:v>
      </x:c>
      <x:c r="C58" t="str">
        <x:v>C008</x:v>
      </x:c>
      <x:c r="D58" t="str">
        <x:v>Cash Deposit</x:v>
      </x:c>
      <x:c r="E58" s="2" t="n">
        <x:v>1867.84</x:v>
      </x:c>
      <x:c r="F58" t="str">
        <x:v>US</x:v>
      </x:c>
      <x:c r="G58" t="str">
        <x:v>Routine synthetic activity</x:v>
      </x:c>
      <x:c r="H58" t="str">
        <x:f>IFERROR(VLOOKUP(C58,Customers!$A$2:$F$9,2,FALSE),"NOT FOUND")</x:f>
        <x:v>Orchid Logistics</x:v>
      </x:c>
      <x:c r="I58" t="str">
        <x:f>IFERROR(VLOOKUP(C58,Customers!$A$2:$F$9,4,FALSE),"NOT FOUND")</x:f>
        <x:v>High</x:v>
      </x:c>
      <x:c r="J58" t="str">
        <x:f>IF(AND(D58="Cash Deposit",E58&gt;=9000),"REVIEW - TRAINING THRESHOLD",IF(AND(D58="International Wire",E58&gt;=13000),"REVIEW - CROSS-BORDER",""))</x:f>
      </x:c>
    </x:row>
    <x:row r="59">
      <x:c r="A59" t="str">
        <x:v>T0058</x:v>
      </x:c>
      <x:c r="B59" t="str">
        <x:v>2026-08-09</x:v>
      </x:c>
      <x:c r="C59" t="str">
        <x:v>C007</x:v>
      </x:c>
      <x:c r="D59" t="str">
        <x:v>Domestic Wire</x:v>
      </x:c>
      <x:c r="E59" s="2" t="n">
        <x:v>3547.93</x:v>
      </x:c>
      <x:c r="F59" t="str">
        <x:v>US</x:v>
      </x:c>
      <x:c r="G59" t="str">
        <x:v>Routine synthetic activity</x:v>
      </x:c>
      <x:c r="H59" t="str">
        <x:f>IFERROR(VLOOKUP(C59,Customers!$A$2:$F$9,2,FALSE),"NOT FOUND")</x:f>
        <x:v>Summit Supplies</x:v>
      </x:c>
      <x:c r="I59" t="str">
        <x:f>IFERROR(VLOOKUP(C59,Customers!$A$2:$F$9,4,FALSE),"NOT FOUND")</x:f>
        <x:v>Medium</x:v>
      </x:c>
      <x:c r="J59" t="str">
        <x:f>IF(AND(D59="Cash Deposit",E59&gt;=9000),"REVIEW - TRAINING THRESHOLD",IF(AND(D59="International Wire",E59&gt;=13000),"REVIEW - CROSS-BORDER",""))</x:f>
      </x:c>
    </x:row>
    <x:row r="60">
      <x:c r="A60" t="str">
        <x:v>T0059</x:v>
      </x:c>
      <x:c r="B60" t="str">
        <x:v>2026-08-12</x:v>
      </x:c>
      <x:c r="C60" t="str">
        <x:v>C006</x:v>
      </x:c>
      <x:c r="D60" t="str">
        <x:v>ACH Debit</x:v>
      </x:c>
      <x:c r="E60" s="2" t="n">
        <x:v>2995.96</x:v>
      </x:c>
      <x:c r="F60" t="str">
        <x:v>US</x:v>
      </x:c>
      <x:c r="G60" t="str">
        <x:v>Routine synthetic activity</x:v>
      </x:c>
      <x:c r="H60" t="str">
        <x:f>IFERROR(VLOOKUP(C60,Customers!$A$2:$F$9,2,FALSE),"NOT FOUND")</x:f>
        <x:v>Maple Books</x:v>
      </x:c>
      <x:c r="I60" t="str">
        <x:f>IFERROR(VLOOKUP(C60,Customers!$A$2:$F$9,4,FALSE),"NOT FOUND")</x:f>
        <x:v>Low</x:v>
      </x:c>
      <x:c r="J60" t="str">
        <x:f>IF(AND(D60="Cash Deposit",E60&gt;=9000),"REVIEW - TRAINING THRESHOLD",IF(AND(D60="International Wire",E60&gt;=13000),"REVIEW - CROSS-BORDER",""))</x:f>
      </x:c>
    </x:row>
    <x:row r="61">
      <x:c r="A61" t="str">
        <x:v>T0060</x:v>
      </x:c>
      <x:c r="B61" t="str">
        <x:v>2026-08-15</x:v>
      </x:c>
      <x:c r="C61" t="str">
        <x:v>C005</x:v>
      </x:c>
      <x:c r="D61" t="str">
        <x:v>ACH Credit</x:v>
      </x:c>
      <x:c r="E61" s="2" t="n">
        <x:v>3051.02</x:v>
      </x:c>
      <x:c r="F61" t="str">
        <x:v>US</x:v>
      </x:c>
      <x:c r="G61" t="str">
        <x:v>Routine synthetic activity</x:v>
      </x:c>
      <x:c r="H61" t="str">
        <x:f>IFERROR(VLOOKUP(C61,Customers!$A$2:$F$9,2,FALSE),"NOT FOUND")</x:f>
        <x:v>River Bend Services</x:v>
      </x:c>
      <x:c r="I61" t="str">
        <x:f>IFERROR(VLOOKUP(C61,Customers!$A$2:$F$9,4,FALSE),"NOT FOUND")</x:f>
        <x:v>Medium</x:v>
      </x:c>
      <x:c r="J61" t="str">
        <x:f>IF(AND(D61="Cash Deposit",E61&gt;=9000),"REVIEW - TRAINING THRESHOLD",IF(AND(D61="International Wire",E61&gt;=13000),"REVIEW - CROSS-BORDER",""))</x:f>
      </x:c>
    </x:row>
    <x:row r="62">
      <x:c r="A62" t="str">
        <x:v>T0061</x:v>
      </x:c>
      <x:c r="B62" t="str">
        <x:v>2026-08-18</x:v>
      </x:c>
      <x:c r="C62" t="str">
        <x:v>C004</x:v>
      </x:c>
      <x:c r="D62" t="str">
        <x:v>Card Settlement</x:v>
      </x:c>
      <x:c r="E62" s="2" t="n">
        <x:v>3570.61</x:v>
      </x:c>
      <x:c r="F62" t="str">
        <x:v>US</x:v>
      </x:c>
      <x:c r="G62" t="str">
        <x:v>Routine synthetic activity</x:v>
      </x:c>
      <x:c r="H62" t="str">
        <x:f>IFERROR(VLOOKUP(C62,Customers!$A$2:$F$9,2,FALSE),"NOT FOUND")</x:f>
        <x:v>Luna Cafe</x:v>
      </x:c>
      <x:c r="I62" t="str">
        <x:f>IFERROR(VLOOKUP(C62,Customers!$A$2:$F$9,4,FALSE),"NOT FOUND")</x:f>
        <x:v>Low</x:v>
      </x:c>
      <x:c r="J62" t="str">
        <x:f>IF(AND(D62="Cash Deposit",E62&gt;=9000),"REVIEW - TRAINING THRESHOLD",IF(AND(D62="International Wire",E62&gt;=13000),"REVIEW - CROSS-BORDER",""))</x:f>
      </x:c>
    </x:row>
    <x:row r="63">
      <x:c r="A63" t="str">
        <x:v>T0062</x:v>
      </x:c>
      <x:c r="B63" t="str">
        <x:v>2026-08-21</x:v>
      </x:c>
      <x:c r="C63" t="str">
        <x:v>C003</x:v>
      </x:c>
      <x:c r="D63" t="str">
        <x:v>Cash Deposit</x:v>
      </x:c>
      <x:c r="E63" s="2" t="n">
        <x:v>1866.56</x:v>
      </x:c>
      <x:c r="F63" t="str">
        <x:v>US</x:v>
      </x:c>
      <x:c r="G63" t="str">
        <x:v>Routine synthetic activity</x:v>
      </x:c>
      <x:c r="H63" t="str">
        <x:f>IFERROR(VLOOKUP(C63,Customers!$A$2:$F$9,2,FALSE),"NOT FOUND")</x:f>
        <x:v>Atlas Imports</x:v>
      </x:c>
      <x:c r="I63" t="str">
        <x:f>IFERROR(VLOOKUP(C63,Customers!$A$2:$F$9,4,FALSE),"NOT FOUND")</x:f>
        <x:v>High</x:v>
      </x:c>
      <x:c r="J63" t="str">
        <x:f>IF(AND(D63="Cash Deposit",E63&gt;=9000),"REVIEW - TRAINING THRESHOLD",IF(AND(D63="International Wire",E63&gt;=13000),"REVIEW - CROSS-BORDER",""))</x:f>
      </x:c>
    </x:row>
    <x:row r="64">
      <x:c r="A64" t="str">
        <x:v>T0063</x:v>
      </x:c>
      <x:c r="B64" t="str">
        <x:v>2026-08-24</x:v>
      </x:c>
      <x:c r="C64" t="str">
        <x:v>C002</x:v>
      </x:c>
      <x:c r="D64" t="str">
        <x:v>Domestic Wire</x:v>
      </x:c>
      <x:c r="E64" s="2" t="n">
        <x:v>1895.36</x:v>
      </x:c>
      <x:c r="F64" t="str">
        <x:v>US</x:v>
      </x:c>
      <x:c r="G64" t="str">
        <x:v>Routine synthetic activity</x:v>
      </x:c>
      <x:c r="H64" t="str">
        <x:f>IFERROR(VLOOKUP(C64,Customers!$A$2:$F$9,2,FALSE),"NOT FOUND")</x:f>
        <x:v>Blue Heron Design</x:v>
      </x:c>
      <x:c r="I64" t="str">
        <x:f>IFERROR(VLOOKUP(C64,Customers!$A$2:$F$9,4,FALSE),"NOT FOUND")</x:f>
        <x:v>Low</x:v>
      </x:c>
      <x:c r="J64" t="str">
        <x:f>IF(AND(D64="Cash Deposit",E64&gt;=9000),"REVIEW - TRAINING THRESHOLD",IF(AND(D64="International Wire",E64&gt;=13000),"REVIEW - CROSS-BORDER",""))</x:f>
      </x:c>
    </x:row>
    <x:row r="65">
      <x:c r="A65" t="str">
        <x:v>T0064</x:v>
      </x:c>
      <x:c r="B65" t="str">
        <x:v>2026-08-27</x:v>
      </x:c>
      <x:c r="C65" t="str">
        <x:v>C001</x:v>
      </x:c>
      <x:c r="D65" t="str">
        <x:v>ACH Debit</x:v>
      </x:c>
      <x:c r="E65" s="2" t="n">
        <x:v>1594.47</x:v>
      </x:c>
      <x:c r="F65" t="str">
        <x:v>US</x:v>
      </x:c>
      <x:c r="G65" t="str">
        <x:v>Routine synthetic activity</x:v>
      </x:c>
      <x:c r="H65" t="str">
        <x:f>IFERROR(VLOOKUP(C65,Customers!$A$2:$F$9,2,FALSE),"NOT FOUND")</x:f>
        <x:v>Cedar Market</x:v>
      </x:c>
      <x:c r="I65" t="str">
        <x:f>IFERROR(VLOOKUP(C65,Customers!$A$2:$F$9,4,FALSE),"NOT FOUND")</x:f>
        <x:v>Medium</x:v>
      </x:c>
      <x:c r="J65" t="str">
        <x:f>IF(AND(D65="Cash Deposit",E65&gt;=9000),"REVIEW - TRAINING THRESHOLD",IF(AND(D65="International Wire",E65&gt;=13000),"REVIEW - CROSS-BORDER",""))</x:f>
      </x:c>
    </x:row>
    <x:row r="66">
      <x:c r="A66" t="str">
        <x:v>T0065</x:v>
      </x:c>
      <x:c r="B66" t="str">
        <x:v>2026-08-30</x:v>
      </x:c>
      <x:c r="C66" t="str">
        <x:v>C008</x:v>
      </x:c>
      <x:c r="D66" t="str">
        <x:v>ACH Credit</x:v>
      </x:c>
      <x:c r="E66" s="2" t="n">
        <x:v>242.08</x:v>
      </x:c>
      <x:c r="F66" t="str">
        <x:v>US</x:v>
      </x:c>
      <x:c r="G66" t="str">
        <x:v>Routine synthetic activity</x:v>
      </x:c>
      <x:c r="H66" t="str">
        <x:f>IFERROR(VLOOKUP(C66,Customers!$A$2:$F$9,2,FALSE),"NOT FOUND")</x:f>
        <x:v>Orchid Logistics</x:v>
      </x:c>
      <x:c r="I66" t="str">
        <x:f>IFERROR(VLOOKUP(C66,Customers!$A$2:$F$9,4,FALSE),"NOT FOUND")</x:f>
        <x:v>High</x:v>
      </x:c>
      <x:c r="J66" t="str">
        <x:f>IF(AND(D66="Cash Deposit",E66&gt;=9000),"REVIEW - TRAINING THRESHOLD",IF(AND(D66="International Wire",E66&gt;=13000),"REVIEW - CROSS-BORDER",""))</x:f>
      </x:c>
    </x:row>
    <x:row r="67">
      <x:c r="A67" t="str">
        <x:v>T0066</x:v>
      </x:c>
      <x:c r="B67" t="str">
        <x:v>2026-08-05</x:v>
      </x:c>
      <x:c r="C67" t="str">
        <x:v>C007</x:v>
      </x:c>
      <x:c r="D67" t="str">
        <x:v>Card Settlement</x:v>
      </x:c>
      <x:c r="E67" s="2" t="n">
        <x:v>286.65</x:v>
      </x:c>
      <x:c r="F67" t="str">
        <x:v>US</x:v>
      </x:c>
      <x:c r="G67" t="str">
        <x:v>Routine synthetic activity</x:v>
      </x:c>
      <x:c r="H67" t="str">
        <x:f>IFERROR(VLOOKUP(C67,Customers!$A$2:$F$9,2,FALSE),"NOT FOUND")</x:f>
        <x:v>Summit Supplies</x:v>
      </x:c>
      <x:c r="I67" t="str">
        <x:f>IFERROR(VLOOKUP(C67,Customers!$A$2:$F$9,4,FALSE),"NOT FOUND")</x:f>
        <x:v>Medium</x:v>
      </x:c>
      <x:c r="J67" t="str">
        <x:f>IF(AND(D67="Cash Deposit",E67&gt;=9000),"REVIEW - TRAINING THRESHOLD",IF(AND(D67="International Wire",E67&gt;=13000),"REVIEW - CROSS-BORDER",""))</x:f>
      </x:c>
    </x:row>
    <x:row r="68">
      <x:c r="A68" t="str">
        <x:v>T0067</x:v>
      </x:c>
      <x:c r="B68" t="str">
        <x:v>2026-08-08</x:v>
      </x:c>
      <x:c r="C68" t="str">
        <x:v>C006</x:v>
      </x:c>
      <x:c r="D68" t="str">
        <x:v>Cash Deposit</x:v>
      </x:c>
      <x:c r="E68" s="2" t="n">
        <x:v>2680.74</x:v>
      </x:c>
      <x:c r="F68" t="str">
        <x:v>US</x:v>
      </x:c>
      <x:c r="G68" t="str">
        <x:v>Routine synthetic activity</x:v>
      </x:c>
      <x:c r="H68" t="str">
        <x:f>IFERROR(VLOOKUP(C68,Customers!$A$2:$F$9,2,FALSE),"NOT FOUND")</x:f>
        <x:v>Maple Books</x:v>
      </x:c>
      <x:c r="I68" t="str">
        <x:f>IFERROR(VLOOKUP(C68,Customers!$A$2:$F$9,4,FALSE),"NOT FOUND")</x:f>
        <x:v>Low</x:v>
      </x:c>
      <x:c r="J68" t="str">
        <x:f>IF(AND(D68="Cash Deposit",E68&gt;=9000),"REVIEW - TRAINING THRESHOLD",IF(AND(D68="International Wire",E68&gt;=13000),"REVIEW - CROSS-BORDER",""))</x:f>
      </x:c>
    </x:row>
    <x:row r="69">
      <x:c r="A69" t="str">
        <x:v>T0068</x:v>
      </x:c>
      <x:c r="B69" t="str">
        <x:v>2026-08-11</x:v>
      </x:c>
      <x:c r="C69" t="str">
        <x:v>C005</x:v>
      </x:c>
      <x:c r="D69" t="str">
        <x:v>Domestic Wire</x:v>
      </x:c>
      <x:c r="E69" s="2" t="n">
        <x:v>3795.77</x:v>
      </x:c>
      <x:c r="F69" t="str">
        <x:v>US</x:v>
      </x:c>
      <x:c r="G69" t="str">
        <x:v>Routine synthetic activity</x:v>
      </x:c>
      <x:c r="H69" t="str">
        <x:f>IFERROR(VLOOKUP(C69,Customers!$A$2:$F$9,2,FALSE),"NOT FOUND")</x:f>
        <x:v>River Bend Services</x:v>
      </x:c>
      <x:c r="I69" t="str">
        <x:f>IFERROR(VLOOKUP(C69,Customers!$A$2:$F$9,4,FALSE),"NOT FOUND")</x:f>
        <x:v>Medium</x:v>
      </x:c>
      <x:c r="J69" t="str">
        <x:f>IF(AND(D69="Cash Deposit",E69&gt;=9000),"REVIEW - TRAINING THRESHOLD",IF(AND(D69="International Wire",E69&gt;=13000),"REVIEW - CROSS-BORDER",""))</x:f>
      </x:c>
    </x:row>
    <x:row r="70">
      <x:c r="A70" t="str">
        <x:v>T0069</x:v>
      </x:c>
      <x:c r="B70" t="str">
        <x:v>2026-08-14</x:v>
      </x:c>
      <x:c r="C70" t="str">
        <x:v>C004</x:v>
      </x:c>
      <x:c r="D70" t="str">
        <x:v>ACH Debit</x:v>
      </x:c>
      <x:c r="E70" s="2" t="n">
        <x:v>2465.9</x:v>
      </x:c>
      <x:c r="F70" t="str">
        <x:v>US</x:v>
      </x:c>
      <x:c r="G70" t="str">
        <x:v>Routine synthetic activity</x:v>
      </x:c>
      <x:c r="H70" t="str">
        <x:f>IFERROR(VLOOKUP(C70,Customers!$A$2:$F$9,2,FALSE),"NOT FOUND")</x:f>
        <x:v>Luna Cafe</x:v>
      </x:c>
      <x:c r="I70" t="str">
        <x:f>IFERROR(VLOOKUP(C70,Customers!$A$2:$F$9,4,FALSE),"NOT FOUND")</x:f>
        <x:v>Low</x:v>
      </x:c>
      <x:c r="J70" t="str">
        <x:f>IF(AND(D70="Cash Deposit",E70&gt;=9000),"REVIEW - TRAINING THRESHOLD",IF(AND(D70="International Wire",E70&gt;=13000),"REVIEW - CROSS-BORDER",""))</x:f>
      </x:c>
    </x:row>
    <x:row r="71">
      <x:c r="A71" t="str">
        <x:v>T0070</x:v>
      </x:c>
      <x:c r="B71" t="str">
        <x:v>2026-08-17</x:v>
      </x:c>
      <x:c r="C71" t="str">
        <x:v>C003</x:v>
      </x:c>
      <x:c r="D71" t="str">
        <x:v>ACH Credit</x:v>
      </x:c>
      <x:c r="E71" s="2" t="n">
        <x:v>3214.64</x:v>
      </x:c>
      <x:c r="F71" t="str">
        <x:v>US</x:v>
      </x:c>
      <x:c r="G71" t="str">
        <x:v>Routine synthetic activity</x:v>
      </x:c>
      <x:c r="H71" t="str">
        <x:f>IFERROR(VLOOKUP(C71,Customers!$A$2:$F$9,2,FALSE),"NOT FOUND")</x:f>
        <x:v>Atlas Imports</x:v>
      </x:c>
      <x:c r="I71" t="str">
        <x:f>IFERROR(VLOOKUP(C71,Customers!$A$2:$F$9,4,FALSE),"NOT FOUND")</x:f>
        <x:v>High</x:v>
      </x:c>
      <x:c r="J71" t="str">
        <x:f>IF(AND(D71="Cash Deposit",E71&gt;=9000),"REVIEW - TRAINING THRESHOLD",IF(AND(D71="International Wire",E71&gt;=13000),"REVIEW - CROSS-BORDER",""))</x:f>
      </x:c>
    </x:row>
    <x:row r="72">
      <x:c r="A72" t="str">
        <x:v>T0071</x:v>
      </x:c>
      <x:c r="B72" t="str">
        <x:v>2026-08-20</x:v>
      </x:c>
      <x:c r="C72" t="str">
        <x:v>C002</x:v>
      </x:c>
      <x:c r="D72" t="str">
        <x:v>Card Settlement</x:v>
      </x:c>
      <x:c r="E72" s="2" t="n">
        <x:v>1921.2</x:v>
      </x:c>
      <x:c r="F72" t="str">
        <x:v>US</x:v>
      </x:c>
      <x:c r="G72" t="str">
        <x:v>Routine synthetic activity</x:v>
      </x:c>
      <x:c r="H72" t="str">
        <x:f>IFERROR(VLOOKUP(C72,Customers!$A$2:$F$9,2,FALSE),"NOT FOUND")</x:f>
        <x:v>Blue Heron Design</x:v>
      </x:c>
      <x:c r="I72" t="str">
        <x:f>IFERROR(VLOOKUP(C72,Customers!$A$2:$F$9,4,FALSE),"NOT FOUND")</x:f>
        <x:v>Low</x:v>
      </x:c>
      <x:c r="J72" t="str">
        <x:f>IF(AND(D72="Cash Deposit",E72&gt;=9000),"REVIEW - TRAINING THRESHOLD",IF(AND(D72="International Wire",E72&gt;=13000),"REVIEW - CROSS-BORDER",""))</x:f>
      </x:c>
    </x:row>
    <x:row r="73">
      <x:c r="A73" t="str">
        <x:v>T0072</x:v>
      </x:c>
      <x:c r="B73" t="str">
        <x:v>2026-08-23</x:v>
      </x:c>
      <x:c r="C73" t="str">
        <x:v>C001</x:v>
      </x:c>
      <x:c r="D73" t="str">
        <x:v>Cash Deposit</x:v>
      </x:c>
      <x:c r="E73" s="2" t="n">
        <x:v>4042.29</x:v>
      </x:c>
      <x:c r="F73" t="str">
        <x:v>US</x:v>
      </x:c>
      <x:c r="G73" t="str">
        <x:v>Routine synthetic activity</x:v>
      </x:c>
      <x:c r="H73" t="str">
        <x:f>IFERROR(VLOOKUP(C73,Customers!$A$2:$F$9,2,FALSE),"NOT FOUND")</x:f>
        <x:v>Cedar Market</x:v>
      </x:c>
      <x:c r="I73" t="str">
        <x:f>IFERROR(VLOOKUP(C73,Customers!$A$2:$F$9,4,FALSE),"NOT FOUND")</x:f>
        <x:v>Medium</x:v>
      </x:c>
      <x:c r="J73" t="str">
        <x:f>IF(AND(D73="Cash Deposit",E73&gt;=9000),"REVIEW - TRAINING THRESHOLD",IF(AND(D73="International Wire",E73&gt;=13000),"REVIEW - CROSS-BORDER",""))</x:f>
      </x:c>
    </x:row>
    <x:row r="74">
      <x:c r="A74" t="str">
        <x:v>T0073</x:v>
      </x:c>
      <x:c r="B74" t="str">
        <x:v>2026-08-26</x:v>
      </x:c>
      <x:c r="C74" t="str">
        <x:v>C008</x:v>
      </x:c>
      <x:c r="D74" t="str">
        <x:v>Domestic Wire</x:v>
      </x:c>
      <x:c r="E74" s="2" t="n">
        <x:v>248.79</x:v>
      </x:c>
      <x:c r="F74" t="str">
        <x:v>US</x:v>
      </x:c>
      <x:c r="G74" t="str">
        <x:v>Routine synthetic activity</x:v>
      </x:c>
      <x:c r="H74" t="str">
        <x:f>IFERROR(VLOOKUP(C74,Customers!$A$2:$F$9,2,FALSE),"NOT FOUND")</x:f>
        <x:v>Orchid Logistics</x:v>
      </x:c>
      <x:c r="I74" t="str">
        <x:f>IFERROR(VLOOKUP(C74,Customers!$A$2:$F$9,4,FALSE),"NOT FOUND")</x:f>
        <x:v>High</x:v>
      </x:c>
      <x:c r="J74" t="str">
        <x:f>IF(AND(D74="Cash Deposit",E74&gt;=9000),"REVIEW - TRAINING THRESHOLD",IF(AND(D74="International Wire",E74&gt;=13000),"REVIEW - CROSS-BORDER",""))</x:f>
      </x:c>
    </x:row>
    <x:row r="75">
      <x:c r="A75" t="str">
        <x:v>T0074</x:v>
      </x:c>
      <x:c r="B75" t="str">
        <x:v>2026-08-29</x:v>
      </x:c>
      <x:c r="C75" t="str">
        <x:v>C007</x:v>
      </x:c>
      <x:c r="D75" t="str">
        <x:v>ACH Debit</x:v>
      </x:c>
      <x:c r="E75" s="2" t="n">
        <x:v>192.39</x:v>
      </x:c>
      <x:c r="F75" t="str">
        <x:v>US</x:v>
      </x:c>
      <x:c r="G75" t="str">
        <x:v>Routine synthetic activity</x:v>
      </x:c>
      <x:c r="H75" t="str">
        <x:f>IFERROR(VLOOKUP(C75,Customers!$A$2:$F$9,2,FALSE),"NOT FOUND")</x:f>
        <x:v>Summit Supplies</x:v>
      </x:c>
      <x:c r="I75" t="str">
        <x:f>IFERROR(VLOOKUP(C75,Customers!$A$2:$F$9,4,FALSE),"NOT FOUND")</x:f>
        <x:v>Medium</x:v>
      </x:c>
      <x:c r="J75" t="str">
        <x:f>IF(AND(D75="Cash Deposit",E75&gt;=9000),"REVIEW - TRAINING THRESHOLD",IF(AND(D75="International Wire",E75&gt;=13000),"REVIEW - CROSS-BORDER",""))</x:f>
      </x:c>
    </x:row>
    <x:row r="76">
      <x:c r="A76" t="str">
        <x:v>T0075</x:v>
      </x:c>
      <x:c r="B76" t="str">
        <x:v>2026-08-04</x:v>
      </x:c>
      <x:c r="C76" t="str">
        <x:v>C006</x:v>
      </x:c>
      <x:c r="D76" t="str">
        <x:v>ACH Credit</x:v>
      </x:c>
      <x:c r="E76" s="2" t="n">
        <x:v>1743.97</x:v>
      </x:c>
      <x:c r="F76" t="str">
        <x:v>US</x:v>
      </x:c>
      <x:c r="G76" t="str">
        <x:v>Routine synthetic activity</x:v>
      </x:c>
      <x:c r="H76" t="str">
        <x:f>IFERROR(VLOOKUP(C76,Customers!$A$2:$F$9,2,FALSE),"NOT FOUND")</x:f>
        <x:v>Maple Books</x:v>
      </x:c>
      <x:c r="I76" t="str">
        <x:f>IFERROR(VLOOKUP(C76,Customers!$A$2:$F$9,4,FALSE),"NOT FOUND")</x:f>
        <x:v>Low</x:v>
      </x:c>
      <x:c r="J76" t="str">
        <x:f>IF(AND(D76="Cash Deposit",E76&gt;=9000),"REVIEW - TRAINING THRESHOLD",IF(AND(D76="International Wire",E76&gt;=13000),"REVIEW - CROSS-BORDER",""))</x:f>
      </x:c>
    </x:row>
    <x:row r="77">
      <x:c r="A77" t="str">
        <x:v>T0076</x:v>
      </x:c>
      <x:c r="B77" t="str">
        <x:v>2026-08-07</x:v>
      </x:c>
      <x:c r="C77" t="str">
        <x:v>C005</x:v>
      </x:c>
      <x:c r="D77" t="str">
        <x:v>Card Settlement</x:v>
      </x:c>
      <x:c r="E77" s="2" t="n">
        <x:v>1224.52</x:v>
      </x:c>
      <x:c r="F77" t="str">
        <x:v>US</x:v>
      </x:c>
      <x:c r="G77" t="str">
        <x:v>Routine synthetic activity</x:v>
      </x:c>
      <x:c r="H77" t="str">
        <x:f>IFERROR(VLOOKUP(C77,Customers!$A$2:$F$9,2,FALSE),"NOT FOUND")</x:f>
        <x:v>River Bend Services</x:v>
      </x:c>
      <x:c r="I77" t="str">
        <x:f>IFERROR(VLOOKUP(C77,Customers!$A$2:$F$9,4,FALSE),"NOT FOUND")</x:f>
        <x:v>Medium</x:v>
      </x:c>
      <x:c r="J77" t="str">
        <x:f>IF(AND(D77="Cash Deposit",E77&gt;=9000),"REVIEW - TRAINING THRESHOLD",IF(AND(D77="International Wire",E77&gt;=13000),"REVIEW - CROSS-BORDER",""))</x:f>
      </x:c>
    </x:row>
    <x:row r="78">
      <x:c r="A78" t="str">
        <x:v>T0077</x:v>
      </x:c>
      <x:c r="B78" t="str">
        <x:v>2026-08-10</x:v>
      </x:c>
      <x:c r="C78" t="str">
        <x:v>C004</x:v>
      </x:c>
      <x:c r="D78" t="str">
        <x:v>Cash Deposit</x:v>
      </x:c>
      <x:c r="E78" s="2" t="n">
        <x:v>547.65</x:v>
      </x:c>
      <x:c r="F78" t="str">
        <x:v>US</x:v>
      </x:c>
      <x:c r="G78" t="str">
        <x:v>Routine synthetic activity</x:v>
      </x:c>
      <x:c r="H78" t="str">
        <x:f>IFERROR(VLOOKUP(C78,Customers!$A$2:$F$9,2,FALSE),"NOT FOUND")</x:f>
        <x:v>Luna Cafe</x:v>
      </x:c>
      <x:c r="I78" t="str">
        <x:f>IFERROR(VLOOKUP(C78,Customers!$A$2:$F$9,4,FALSE),"NOT FOUND")</x:f>
        <x:v>Low</x:v>
      </x:c>
      <x:c r="J78" t="str">
        <x:f>IF(AND(D78="Cash Deposit",E78&gt;=9000),"REVIEW - TRAINING THRESHOLD",IF(AND(D78="International Wire",E78&gt;=13000),"REVIEW - CROSS-BORDER",""))</x:f>
      </x:c>
    </x:row>
    <x:row r="79">
      <x:c r="A79" t="str">
        <x:v>T0078</x:v>
      </x:c>
      <x:c r="B79" t="str">
        <x:v>2026-08-13</x:v>
      </x:c>
      <x:c r="C79" t="str">
        <x:v>C003</x:v>
      </x:c>
      <x:c r="D79" t="str">
        <x:v>Domestic Wire</x:v>
      </x:c>
      <x:c r="E79" s="2" t="n">
        <x:v>758.41</x:v>
      </x:c>
      <x:c r="F79" t="str">
        <x:v>US</x:v>
      </x:c>
      <x:c r="G79" t="str">
        <x:v>Routine synthetic activity</x:v>
      </x:c>
      <x:c r="H79" t="str">
        <x:f>IFERROR(VLOOKUP(C79,Customers!$A$2:$F$9,2,FALSE),"NOT FOUND")</x:f>
        <x:v>Atlas Imports</x:v>
      </x:c>
      <x:c r="I79" t="str">
        <x:f>IFERROR(VLOOKUP(C79,Customers!$A$2:$F$9,4,FALSE),"NOT FOUND")</x:f>
        <x:v>High</x:v>
      </x:c>
      <x:c r="J79" t="str">
        <x:f>IF(AND(D79="Cash Deposit",E79&gt;=9000),"REVIEW - TRAINING THRESHOLD",IF(AND(D79="International Wire",E79&gt;=13000),"REVIEW - CROSS-BORDER",""))</x:f>
      </x:c>
    </x:row>
    <x:row r="80">
      <x:c r="A80" t="str">
        <x:v>T0079</x:v>
      </x:c>
      <x:c r="B80" t="str">
        <x:v>2026-08-16</x:v>
      </x:c>
      <x:c r="C80" t="str">
        <x:v>C002</x:v>
      </x:c>
      <x:c r="D80" t="str">
        <x:v>ACH Debit</x:v>
      </x:c>
      <x:c r="E80" s="2" t="n">
        <x:v>492.14</x:v>
      </x:c>
      <x:c r="F80" t="str">
        <x:v>US</x:v>
      </x:c>
      <x:c r="G80" t="str">
        <x:v>Routine synthetic activity</x:v>
      </x:c>
      <x:c r="H80" t="str">
        <x:f>IFERROR(VLOOKUP(C80,Customers!$A$2:$F$9,2,FALSE),"NOT FOUND")</x:f>
        <x:v>Blue Heron Design</x:v>
      </x:c>
      <x:c r="I80" t="str">
        <x:f>IFERROR(VLOOKUP(C80,Customers!$A$2:$F$9,4,FALSE),"NOT FOUND")</x:f>
        <x:v>Low</x:v>
      </x:c>
      <x:c r="J80" t="str">
        <x:f>IF(AND(D80="Cash Deposit",E80&gt;=9000),"REVIEW - TRAINING THRESHOLD",IF(AND(D80="International Wire",E80&gt;=13000),"REVIEW - CROSS-BORDER",""))</x:f>
      </x:c>
    </x:row>
    <x:row r="81">
      <x:c r="A81" t="str">
        <x:v>T0080</x:v>
      </x:c>
      <x:c r="B81" t="str">
        <x:v>2026-08-19</x:v>
      </x:c>
      <x:c r="C81" t="str">
        <x:v>C001</x:v>
      </x:c>
      <x:c r="D81" t="str">
        <x:v>ACH Credit</x:v>
      </x:c>
      <x:c r="E81" s="2" t="n">
        <x:v>2420.94</x:v>
      </x:c>
      <x:c r="F81" t="str">
        <x:v>US</x:v>
      </x:c>
      <x:c r="G81" t="str">
        <x:v>Routine synthetic activity</x:v>
      </x:c>
      <x:c r="H81" t="str">
        <x:f>IFERROR(VLOOKUP(C81,Customers!$A$2:$F$9,2,FALSE),"NOT FOUND")</x:f>
        <x:v>Cedar Market</x:v>
      </x:c>
      <x:c r="I81" t="str">
        <x:f>IFERROR(VLOOKUP(C81,Customers!$A$2:$F$9,4,FALSE),"NOT FOUND")</x:f>
        <x:v>Medium</x:v>
      </x:c>
      <x:c r="J81" t="str">
        <x:f>IF(AND(D81="Cash Deposit",E81&gt;=9000),"REVIEW - TRAINING THRESHOLD",IF(AND(D81="International Wire",E81&gt;=13000),"REVIEW - CROSS-BORDER",""))</x:f>
      </x:c>
    </x:row>
    <x:row r="82">
      <x:c r="A82" t="str">
        <x:v>T0081</x:v>
      </x:c>
      <x:c r="B82" t="str">
        <x:v>2026-08-22</x:v>
      </x:c>
      <x:c r="C82" t="str">
        <x:v>C008</x:v>
      </x:c>
      <x:c r="D82" t="str">
        <x:v>Card Settlement</x:v>
      </x:c>
      <x:c r="E82" s="2" t="n">
        <x:v>244.89</x:v>
      </x:c>
      <x:c r="F82" t="str">
        <x:v>US</x:v>
      </x:c>
      <x:c r="G82" t="str">
        <x:v>Routine synthetic activity</x:v>
      </x:c>
      <x:c r="H82" t="str">
        <x:f>IFERROR(VLOOKUP(C82,Customers!$A$2:$F$9,2,FALSE),"NOT FOUND")</x:f>
        <x:v>Orchid Logistics</x:v>
      </x:c>
      <x:c r="I82" t="str">
        <x:f>IFERROR(VLOOKUP(C82,Customers!$A$2:$F$9,4,FALSE),"NOT FOUND")</x:f>
        <x:v>High</x:v>
      </x:c>
      <x:c r="J82" t="str">
        <x:f>IF(AND(D82="Cash Deposit",E82&gt;=9000),"REVIEW - TRAINING THRESHOLD",IF(AND(D82="International Wire",E82&gt;=13000),"REVIEW - CROSS-BORDER",""))</x:f>
      </x:c>
    </x:row>
    <x:row r="83">
      <x:c r="A83" t="str">
        <x:v>T0082</x:v>
      </x:c>
      <x:c r="B83" t="str">
        <x:v>2026-08-25</x:v>
      </x:c>
      <x:c r="C83" t="str">
        <x:v>C007</x:v>
      </x:c>
      <x:c r="D83" t="str">
        <x:v>Cash Deposit</x:v>
      </x:c>
      <x:c r="E83" s="2" t="n">
        <x:v>3415.27</x:v>
      </x:c>
      <x:c r="F83" t="str">
        <x:v>US</x:v>
      </x:c>
      <x:c r="G83" t="str">
        <x:v>Routine synthetic activity</x:v>
      </x:c>
      <x:c r="H83" t="str">
        <x:f>IFERROR(VLOOKUP(C83,Customers!$A$2:$F$9,2,FALSE),"NOT FOUND")</x:f>
        <x:v>Summit Supplies</x:v>
      </x:c>
      <x:c r="I83" t="str">
        <x:f>IFERROR(VLOOKUP(C83,Customers!$A$2:$F$9,4,FALSE),"NOT FOUND")</x:f>
        <x:v>Medium</x:v>
      </x:c>
      <x:c r="J83" t="str">
        <x:f>IF(AND(D83="Cash Deposit",E83&gt;=9000),"REVIEW - TRAINING THRESHOLD",IF(AND(D83="International Wire",E83&gt;=13000),"REVIEW - CROSS-BORDER",""))</x:f>
      </x:c>
    </x:row>
    <x:row r="84">
      <x:c r="A84" t="str">
        <x:v>T0083</x:v>
      </x:c>
      <x:c r="B84" t="str">
        <x:v>2026-08-28</x:v>
      </x:c>
      <x:c r="C84" t="str">
        <x:v>C006</x:v>
      </x:c>
      <x:c r="D84" t="str">
        <x:v>Domestic Wire</x:v>
      </x:c>
      <x:c r="E84" s="2" t="n">
        <x:v>1720.04</x:v>
      </x:c>
      <x:c r="F84" t="str">
        <x:v>US</x:v>
      </x:c>
      <x:c r="G84" t="str">
        <x:v>Routine synthetic activity</x:v>
      </x:c>
      <x:c r="H84" t="str">
        <x:f>IFERROR(VLOOKUP(C84,Customers!$A$2:$F$9,2,FALSE),"NOT FOUND")</x:f>
        <x:v>Maple Books</x:v>
      </x:c>
      <x:c r="I84" t="str">
        <x:f>IFERROR(VLOOKUP(C84,Customers!$A$2:$F$9,4,FALSE),"NOT FOUND")</x:f>
        <x:v>Low</x:v>
      </x:c>
      <x:c r="J84" t="str">
        <x:f>IF(AND(D84="Cash Deposit",E84&gt;=9000),"REVIEW - TRAINING THRESHOLD",IF(AND(D84="International Wire",E84&gt;=13000),"REVIEW - CROSS-BORDER",""))</x:f>
      </x:c>
    </x:row>
    <x:row r="85">
      <x:c r="A85" t="str">
        <x:v>T0084</x:v>
      </x:c>
      <x:c r="B85" t="str">
        <x:v>2026-08-03</x:v>
      </x:c>
      <x:c r="C85" t="str">
        <x:v>C005</x:v>
      </x:c>
      <x:c r="D85" t="str">
        <x:v>ACH Debit</x:v>
      </x:c>
      <x:c r="E85" s="2" t="n">
        <x:v>206.04</x:v>
      </x:c>
      <x:c r="F85" t="str">
        <x:v>US</x:v>
      </x:c>
      <x:c r="G85" t="str">
        <x:v>Routine synthetic activity</x:v>
      </x:c>
      <x:c r="H85" t="str">
        <x:f>IFERROR(VLOOKUP(C85,Customers!$A$2:$F$9,2,FALSE),"NOT FOUND")</x:f>
        <x:v>River Bend Services</x:v>
      </x:c>
      <x:c r="I85" t="str">
        <x:f>IFERROR(VLOOKUP(C85,Customers!$A$2:$F$9,4,FALSE),"NOT FOUND")</x:f>
        <x:v>Medium</x:v>
      </x:c>
      <x:c r="J85" t="str">
        <x:f>IF(AND(D85="Cash Deposit",E85&gt;=9000),"REVIEW - TRAINING THRESHOLD",IF(AND(D85="International Wire",E85&gt;=13000),"REVIEW - CROSS-BORDER",""))</x:f>
      </x:c>
    </x:row>
    <x:row r="86">
      <x:c r="A86" t="str">
        <x:v>T0085</x:v>
      </x:c>
      <x:c r="B86" t="str">
        <x:v>2026-08-06</x:v>
      </x:c>
      <x:c r="C86" t="str">
        <x:v>C004</x:v>
      </x:c>
      <x:c r="D86" t="str">
        <x:v>ACH Credit</x:v>
      </x:c>
      <x:c r="E86" s="2" t="n">
        <x:v>3674.8</x:v>
      </x:c>
      <x:c r="F86" t="str">
        <x:v>US</x:v>
      </x:c>
      <x:c r="G86" t="str">
        <x:v>Routine synthetic activity</x:v>
      </x:c>
      <x:c r="H86" t="str">
        <x:f>IFERROR(VLOOKUP(C86,Customers!$A$2:$F$9,2,FALSE),"NOT FOUND")</x:f>
        <x:v>Luna Cafe</x:v>
      </x:c>
      <x:c r="I86" t="str">
        <x:f>IFERROR(VLOOKUP(C86,Customers!$A$2:$F$9,4,FALSE),"NOT FOUND")</x:f>
        <x:v>Low</x:v>
      </x:c>
      <x:c r="J86" t="str">
        <x:f>IF(AND(D86="Cash Deposit",E86&gt;=9000),"REVIEW - TRAINING THRESHOLD",IF(AND(D86="International Wire",E86&gt;=13000),"REVIEW - CROSS-BORDER",""))</x:f>
      </x:c>
    </x:row>
    <x:row r="87">
      <x:c r="A87" t="str">
        <x:v>T0086</x:v>
      </x:c>
      <x:c r="B87" t="str">
        <x:v>2026-08-09</x:v>
      </x:c>
      <x:c r="C87" t="str">
        <x:v>C003</x:v>
      </x:c>
      <x:c r="D87" t="str">
        <x:v>Card Settlement</x:v>
      </x:c>
      <x:c r="E87" s="2" t="n">
        <x:v>1974.45</x:v>
      </x:c>
      <x:c r="F87" t="str">
        <x:v>US</x:v>
      </x:c>
      <x:c r="G87" t="str">
        <x:v>Routine synthetic activity</x:v>
      </x:c>
      <x:c r="H87" t="str">
        <x:f>IFERROR(VLOOKUP(C87,Customers!$A$2:$F$9,2,FALSE),"NOT FOUND")</x:f>
        <x:v>Atlas Imports</x:v>
      </x:c>
      <x:c r="I87" t="str">
        <x:f>IFERROR(VLOOKUP(C87,Customers!$A$2:$F$9,4,FALSE),"NOT FOUND")</x:f>
        <x:v>High</x:v>
      </x:c>
      <x:c r="J87" t="str">
        <x:f>IF(AND(D87="Cash Deposit",E87&gt;=9000),"REVIEW - TRAINING THRESHOLD",IF(AND(D87="International Wire",E87&gt;=13000),"REVIEW - CROSS-BORDER",""))</x:f>
      </x:c>
    </x:row>
    <x:row r="88">
      <x:c r="A88" t="str">
        <x:v>T0087</x:v>
      </x:c>
      <x:c r="B88" t="str">
        <x:v>2026-08-12</x:v>
      </x:c>
      <x:c r="C88" t="str">
        <x:v>C002</x:v>
      </x:c>
      <x:c r="D88" t="str">
        <x:v>Cash Deposit</x:v>
      </x:c>
      <x:c r="E88" s="2" t="n">
        <x:v>3265.74</x:v>
      </x:c>
      <x:c r="F88" t="str">
        <x:v>US</x:v>
      </x:c>
      <x:c r="G88" t="str">
        <x:v>Routine synthetic activity</x:v>
      </x:c>
      <x:c r="H88" t="str">
        <x:f>IFERROR(VLOOKUP(C88,Customers!$A$2:$F$9,2,FALSE),"NOT FOUND")</x:f>
        <x:v>Blue Heron Design</x:v>
      </x:c>
      <x:c r="I88" t="str">
        <x:f>IFERROR(VLOOKUP(C88,Customers!$A$2:$F$9,4,FALSE),"NOT FOUND")</x:f>
        <x:v>Low</x:v>
      </x:c>
      <x:c r="J88" t="str">
        <x:f>IF(AND(D88="Cash Deposit",E88&gt;=9000),"REVIEW - TRAINING THRESHOLD",IF(AND(D88="International Wire",E88&gt;=13000),"REVIEW - CROSS-BORDER",""))</x:f>
      </x:c>
    </x:row>
    <x:row r="89">
      <x:c r="A89" t="str">
        <x:v>T0088</x:v>
      </x:c>
      <x:c r="B89" t="str">
        <x:v>2026-08-15</x:v>
      </x:c>
      <x:c r="C89" t="str">
        <x:v>C001</x:v>
      </x:c>
      <x:c r="D89" t="str">
        <x:v>Domestic Wire</x:v>
      </x:c>
      <x:c r="E89" s="2" t="n">
        <x:v>2187.4</x:v>
      </x:c>
      <x:c r="F89" t="str">
        <x:v>US</x:v>
      </x:c>
      <x:c r="G89" t="str">
        <x:v>Routine synthetic activity</x:v>
      </x:c>
      <x:c r="H89" t="str">
        <x:f>IFERROR(VLOOKUP(C89,Customers!$A$2:$F$9,2,FALSE),"NOT FOUND")</x:f>
        <x:v>Cedar Market</x:v>
      </x:c>
      <x:c r="I89" t="str">
        <x:f>IFERROR(VLOOKUP(C89,Customers!$A$2:$F$9,4,FALSE),"NOT FOUND")</x:f>
        <x:v>Medium</x:v>
      </x:c>
      <x:c r="J89" t="str">
        <x:f>IF(AND(D89="Cash Deposit",E89&gt;=9000),"REVIEW - TRAINING THRESHOLD",IF(AND(D89="International Wire",E89&gt;=13000),"REVIEW - CROSS-BORDER",""))</x:f>
      </x:c>
    </x:row>
    <x:row r="90">
      <x:c r="A90" t="str">
        <x:v>T0089</x:v>
      </x:c>
      <x:c r="B90" t="str">
        <x:v>2026-08-18</x:v>
      </x:c>
      <x:c r="C90" t="str">
        <x:v>C008</x:v>
      </x:c>
      <x:c r="D90" t="str">
        <x:v>ACH Debit</x:v>
      </x:c>
      <x:c r="E90" s="2" t="n">
        <x:v>1613.86</x:v>
      </x:c>
      <x:c r="F90" t="str">
        <x:v>US</x:v>
      </x:c>
      <x:c r="G90" t="str">
        <x:v>Routine synthetic activity</x:v>
      </x:c>
      <x:c r="H90" t="str">
        <x:f>IFERROR(VLOOKUP(C90,Customers!$A$2:$F$9,2,FALSE),"NOT FOUND")</x:f>
        <x:v>Orchid Logistics</x:v>
      </x:c>
      <x:c r="I90" t="str">
        <x:f>IFERROR(VLOOKUP(C90,Customers!$A$2:$F$9,4,FALSE),"NOT FOUND")</x:f>
        <x:v>High</x:v>
      </x:c>
      <x:c r="J90" t="str">
        <x:f>IF(AND(D90="Cash Deposit",E90&gt;=9000),"REVIEW - TRAINING THRESHOLD",IF(AND(D90="International Wire",E90&gt;=13000),"REVIEW - CROSS-BORDER",""))</x:f>
      </x:c>
    </x:row>
    <x:row r="91">
      <x:c r="A91" t="str">
        <x:v>T0090</x:v>
      </x:c>
      <x:c r="B91" t="str">
        <x:v>2026-08-21</x:v>
      </x:c>
      <x:c r="C91" t="str">
        <x:v>C007</x:v>
      </x:c>
      <x:c r="D91" t="str">
        <x:v>ACH Credit</x:v>
      </x:c>
      <x:c r="E91" s="2" t="n">
        <x:v>500.38</x:v>
      </x:c>
      <x:c r="F91" t="str">
        <x:v>US</x:v>
      </x:c>
      <x:c r="G91" t="str">
        <x:v>Routine synthetic activity</x:v>
      </x:c>
      <x:c r="H91" t="str">
        <x:f>IFERROR(VLOOKUP(C91,Customers!$A$2:$F$9,2,FALSE),"NOT FOUND")</x:f>
        <x:v>Summit Supplies</x:v>
      </x:c>
      <x:c r="I91" t="str">
        <x:f>IFERROR(VLOOKUP(C91,Customers!$A$2:$F$9,4,FALSE),"NOT FOUND")</x:f>
        <x:v>Medium</x:v>
      </x:c>
      <x:c r="J91" t="str">
        <x:f>IF(AND(D91="Cash Deposit",E91&gt;=9000),"REVIEW - TRAINING THRESHOLD",IF(AND(D91="International Wire",E91&gt;=13000),"REVIEW - CROSS-BORDER",""))</x:f>
      </x:c>
    </x:row>
    <x:row r="92">
      <x:c r="A92" t="str">
        <x:v>T0091</x:v>
      </x:c>
      <x:c r="B92" t="str">
        <x:v>2026-08-24</x:v>
      </x:c>
      <x:c r="C92" t="str">
        <x:v>C006</x:v>
      </x:c>
      <x:c r="D92" t="str">
        <x:v>Card Settlement</x:v>
      </x:c>
      <x:c r="E92" s="2" t="n">
        <x:v>3770.75</x:v>
      </x:c>
      <x:c r="F92" t="str">
        <x:v>US</x:v>
      </x:c>
      <x:c r="G92" t="str">
        <x:v>Routine synthetic activity</x:v>
      </x:c>
      <x:c r="H92" t="str">
        <x:f>IFERROR(VLOOKUP(C92,Customers!$A$2:$F$9,2,FALSE),"NOT FOUND")</x:f>
        <x:v>Maple Books</x:v>
      </x:c>
      <x:c r="I92" t="str">
        <x:f>IFERROR(VLOOKUP(C92,Customers!$A$2:$F$9,4,FALSE),"NOT FOUND")</x:f>
        <x:v>Low</x:v>
      </x:c>
      <x:c r="J92" t="str">
        <x:f>IF(AND(D92="Cash Deposit",E92&gt;=9000),"REVIEW - TRAINING THRESHOLD",IF(AND(D92="International Wire",E92&gt;=13000),"REVIEW - CROSS-BORDER",""))</x:f>
      </x:c>
    </x:row>
    <x:row r="93">
      <x:c r="A93" t="str">
        <x:v>T0092</x:v>
      </x:c>
      <x:c r="B93" t="str">
        <x:v>2026-08-27</x:v>
      </x:c>
      <x:c r="C93" t="str">
        <x:v>C005</x:v>
      </x:c>
      <x:c r="D93" t="str">
        <x:v>Cash Deposit</x:v>
      </x:c>
      <x:c r="E93" s="2" t="n">
        <x:v>1673.5</x:v>
      </x:c>
      <x:c r="F93" t="str">
        <x:v>US</x:v>
      </x:c>
      <x:c r="G93" t="str">
        <x:v>Routine synthetic activity</x:v>
      </x:c>
      <x:c r="H93" t="str">
        <x:f>IFERROR(VLOOKUP(C93,Customers!$A$2:$F$9,2,FALSE),"NOT FOUND")</x:f>
        <x:v>River Bend Services</x:v>
      </x:c>
      <x:c r="I93" t="str">
        <x:f>IFERROR(VLOOKUP(C93,Customers!$A$2:$F$9,4,FALSE),"NOT FOUND")</x:f>
        <x:v>Medium</x:v>
      </x:c>
      <x:c r="J93" t="str">
        <x:f>IF(AND(D93="Cash Deposit",E93&gt;=9000),"REVIEW - TRAINING THRESHOLD",IF(AND(D93="International Wire",E93&gt;=13000),"REVIEW - CROSS-BORDER",""))</x:f>
      </x:c>
    </x:row>
    <x:row r="94">
      <x:c r="A94" t="str">
        <x:v>T0093</x:v>
      </x:c>
      <x:c r="B94" t="str">
        <x:v>2026-08-30</x:v>
      </x:c>
      <x:c r="C94" t="str">
        <x:v>C004</x:v>
      </x:c>
      <x:c r="D94" t="str">
        <x:v>Domestic Wire</x:v>
      </x:c>
      <x:c r="E94" s="2" t="n">
        <x:v>669.93</x:v>
      </x:c>
      <x:c r="F94" t="str">
        <x:v>US</x:v>
      </x:c>
      <x:c r="G94" t="str">
        <x:v>Routine synthetic activity</x:v>
      </x:c>
      <x:c r="H94" t="str">
        <x:f>IFERROR(VLOOKUP(C94,Customers!$A$2:$F$9,2,FALSE),"NOT FOUND")</x:f>
        <x:v>Luna Cafe</x:v>
      </x:c>
      <x:c r="I94" t="str">
        <x:f>IFERROR(VLOOKUP(C94,Customers!$A$2:$F$9,4,FALSE),"NOT FOUND")</x:f>
        <x:v>Low</x:v>
      </x:c>
      <x:c r="J94" t="str">
        <x:f>IF(AND(D94="Cash Deposit",E94&gt;=9000),"REVIEW - TRAINING THRESHOLD",IF(AND(D94="International Wire",E94&gt;=13000),"REVIEW - CROSS-BORDER",""))</x:f>
      </x:c>
    </x:row>
    <x:row r="95">
      <x:c r="A95" t="str">
        <x:v>T0094</x:v>
      </x:c>
      <x:c r="B95" t="str">
        <x:v>2026-08-05</x:v>
      </x:c>
      <x:c r="C95" t="str">
        <x:v>C003</x:v>
      </x:c>
      <x:c r="D95" t="str">
        <x:v>ACH Debit</x:v>
      </x:c>
      <x:c r="E95" s="2" t="n">
        <x:v>2372.06</x:v>
      </x:c>
      <x:c r="F95" t="str">
        <x:v>US</x:v>
      </x:c>
      <x:c r="G95" t="str">
        <x:v>Routine synthetic activity</x:v>
      </x:c>
      <x:c r="H95" t="str">
        <x:f>IFERROR(VLOOKUP(C95,Customers!$A$2:$F$9,2,FALSE),"NOT FOUND")</x:f>
        <x:v>Atlas Imports</x:v>
      </x:c>
      <x:c r="I95" t="str">
        <x:f>IFERROR(VLOOKUP(C95,Customers!$A$2:$F$9,4,FALSE),"NOT FOUND")</x:f>
        <x:v>High</x:v>
      </x:c>
      <x:c r="J95" t="str">
        <x:f>IF(AND(D95="Cash Deposit",E95&gt;=9000),"REVIEW - TRAINING THRESHOLD",IF(AND(D95="International Wire",E95&gt;=13000),"REVIEW - CROSS-BORDER",""))</x:f>
      </x:c>
    </x:row>
    <x:row r="96">
      <x:c r="A96" t="str">
        <x:v>T0095</x:v>
      </x:c>
      <x:c r="B96" t="str">
        <x:v>2026-08-08</x:v>
      </x:c>
      <x:c r="C96" t="str">
        <x:v>C002</x:v>
      </x:c>
      <x:c r="D96" t="str">
        <x:v>ACH Credit</x:v>
      </x:c>
      <x:c r="E96" s="2" t="n">
        <x:v>3836.63</x:v>
      </x:c>
      <x:c r="F96" t="str">
        <x:v>US</x:v>
      </x:c>
      <x:c r="G96" t="str">
        <x:v>Routine synthetic activity</x:v>
      </x:c>
      <x:c r="H96" t="str">
        <x:f>IFERROR(VLOOKUP(C96,Customers!$A$2:$F$9,2,FALSE),"NOT FOUND")</x:f>
        <x:v>Blue Heron Design</x:v>
      </x:c>
      <x:c r="I96" t="str">
        <x:f>IFERROR(VLOOKUP(C96,Customers!$A$2:$F$9,4,FALSE),"NOT FOUND")</x:f>
        <x:v>Low</x:v>
      </x:c>
      <x:c r="J96" t="str">
        <x:f>IF(AND(D96="Cash Deposit",E96&gt;=9000),"REVIEW - TRAINING THRESHOLD",IF(AND(D96="International Wire",E96&gt;=13000),"REVIEW - CROSS-BORDER",""))</x:f>
      </x:c>
    </x:row>
    <x:row r="97">
      <x:c r="A97" t="str">
        <x:v>T0096</x:v>
      </x:c>
      <x:c r="B97" t="str">
        <x:v>2026-08-11</x:v>
      </x:c>
      <x:c r="C97" t="str">
        <x:v>C001</x:v>
      </x:c>
      <x:c r="D97" t="str">
        <x:v>Card Settlement</x:v>
      </x:c>
      <x:c r="E97" s="2" t="n">
        <x:v>1638.94</x:v>
      </x:c>
      <x:c r="F97" t="str">
        <x:v>US</x:v>
      </x:c>
      <x:c r="G97" t="str">
        <x:v>Routine synthetic activity</x:v>
      </x:c>
      <x:c r="H97" t="str">
        <x:f>IFERROR(VLOOKUP(C97,Customers!$A$2:$F$9,2,FALSE),"NOT FOUND")</x:f>
        <x:v>Cedar Market</x:v>
      </x:c>
      <x:c r="I97" t="str">
        <x:f>IFERROR(VLOOKUP(C97,Customers!$A$2:$F$9,4,FALSE),"NOT FOUND")</x:f>
        <x:v>Medium</x:v>
      </x:c>
      <x:c r="J97" t="str">
        <x:f>IF(AND(D97="Cash Deposit",E97&gt;=9000),"REVIEW - TRAINING THRESHOLD",IF(AND(D97="International Wire",E97&gt;=13000),"REVIEW - CROSS-BORDER",""))</x:f>
      </x:c>
    </x:row>
    <x:row r="98">
      <x:c r="A98" t="str">
        <x:v>T0097</x:v>
      </x:c>
      <x:c r="B98" t="str">
        <x:v>2026-08-14</x:v>
      </x:c>
      <x:c r="C98" t="str">
        <x:v>C008</x:v>
      </x:c>
      <x:c r="D98" t="str">
        <x:v>Cash Deposit</x:v>
      </x:c>
      <x:c r="E98" s="2" t="n">
        <x:v>3504.29</x:v>
      </x:c>
      <x:c r="F98" t="str">
        <x:v>US</x:v>
      </x:c>
      <x:c r="G98" t="str">
        <x:v>Routine synthetic activity</x:v>
      </x:c>
      <x:c r="H98" t="str">
        <x:f>IFERROR(VLOOKUP(C98,Customers!$A$2:$F$9,2,FALSE),"NOT FOUND")</x:f>
        <x:v>Orchid Logistics</x:v>
      </x:c>
      <x:c r="I98" t="str">
        <x:f>IFERROR(VLOOKUP(C98,Customers!$A$2:$F$9,4,FALSE),"NOT FOUND")</x:f>
        <x:v>High</x:v>
      </x:c>
      <x:c r="J98" t="str">
        <x:f>IF(AND(D98="Cash Deposit",E98&gt;=9000),"REVIEW - TRAINING THRESHOLD",IF(AND(D98="International Wire",E98&gt;=13000),"REVIEW - CROSS-BORDER",""))</x:f>
      </x:c>
    </x:row>
    <x:row r="99">
      <x:c r="A99" t="str">
        <x:v>T0098</x:v>
      </x:c>
      <x:c r="B99" t="str">
        <x:v>2026-08-17</x:v>
      </x:c>
      <x:c r="C99" t="str">
        <x:v>C007</x:v>
      </x:c>
      <x:c r="D99" t="str">
        <x:v>Domestic Wire</x:v>
      </x:c>
      <x:c r="E99" s="2" t="n">
        <x:v>2067.12</x:v>
      </x:c>
      <x:c r="F99" t="str">
        <x:v>US</x:v>
      </x:c>
      <x:c r="G99" t="str">
        <x:v>Routine synthetic activity</x:v>
      </x:c>
      <x:c r="H99" t="str">
        <x:f>IFERROR(VLOOKUP(C99,Customers!$A$2:$F$9,2,FALSE),"NOT FOUND")</x:f>
        <x:v>Summit Supplies</x:v>
      </x:c>
      <x:c r="I99" t="str">
        <x:f>IFERROR(VLOOKUP(C99,Customers!$A$2:$F$9,4,FALSE),"NOT FOUND")</x:f>
        <x:v>Medium</x:v>
      </x:c>
      <x:c r="J99" t="str">
        <x:f>IF(AND(D99="Cash Deposit",E99&gt;=9000),"REVIEW - TRAINING THRESHOLD",IF(AND(D99="International Wire",E99&gt;=13000),"REVIEW - CROSS-BORDER",""))</x:f>
      </x:c>
    </x:row>
    <x:row r="100">
      <x:c r="A100" t="str">
        <x:v>T0099</x:v>
      </x:c>
      <x:c r="B100" t="str">
        <x:v>2026-08-20</x:v>
      </x:c>
      <x:c r="C100" t="str">
        <x:v>C006</x:v>
      </x:c>
      <x:c r="D100" t="str">
        <x:v>ACH Debit</x:v>
      </x:c>
      <x:c r="E100" s="2" t="n">
        <x:v>2589.67</x:v>
      </x:c>
      <x:c r="F100" t="str">
        <x:v>US</x:v>
      </x:c>
      <x:c r="G100" t="str">
        <x:v>Routine synthetic activity</x:v>
      </x:c>
      <x:c r="H100" t="str">
        <x:f>IFERROR(VLOOKUP(C100,Customers!$A$2:$F$9,2,FALSE),"NOT FOUND")</x:f>
        <x:v>Maple Books</x:v>
      </x:c>
      <x:c r="I100" t="str">
        <x:f>IFERROR(VLOOKUP(C100,Customers!$A$2:$F$9,4,FALSE),"NOT FOUND")</x:f>
        <x:v>Low</x:v>
      </x:c>
      <x:c r="J100" t="str">
        <x:f>IF(AND(D100="Cash Deposit",E100&gt;=9000),"REVIEW - TRAINING THRESHOLD",IF(AND(D100="International Wire",E100&gt;=13000),"REVIEW - CROSS-BORDER",""))</x:f>
      </x:c>
    </x:row>
    <x:row r="101">
      <x:c r="A101" t="str">
        <x:v>T0100</x:v>
      </x:c>
      <x:c r="B101" t="str">
        <x:v>2026-08-23</x:v>
      </x:c>
      <x:c r="C101" t="str">
        <x:v>C005</x:v>
      </x:c>
      <x:c r="D101" t="str">
        <x:v>ACH Credit</x:v>
      </x:c>
      <x:c r="E101" s="2" t="n">
        <x:v>2888.27</x:v>
      </x:c>
      <x:c r="F101" t="str">
        <x:v>US</x:v>
      </x:c>
      <x:c r="G101" t="str">
        <x:v>Routine synthetic activity</x:v>
      </x:c>
      <x:c r="H101" t="str">
        <x:f>IFERROR(VLOOKUP(C101,Customers!$A$2:$F$9,2,FALSE),"NOT FOUND")</x:f>
        <x:v>River Bend Services</x:v>
      </x:c>
      <x:c r="I101" t="str">
        <x:f>IFERROR(VLOOKUP(C101,Customers!$A$2:$F$9,4,FALSE),"NOT FOUND")</x:f>
        <x:v>Medium</x:v>
      </x:c>
      <x:c r="J101" t="str">
        <x:f>IF(AND(D101="Cash Deposit",E101&gt;=9000),"REVIEW - TRAINING THRESHOLD",IF(AND(D101="International Wire",E101&gt;=13000),"REVIEW - CROSS-BORDER",""))</x:f>
      </x:c>
    </x:row>
    <x:row r="102">
      <x:c r="A102" t="str">
        <x:v>T0101</x:v>
      </x:c>
      <x:c r="B102" t="str">
        <x:v>2026-08-26</x:v>
      </x:c>
      <x:c r="C102" t="str">
        <x:v>C004</x:v>
      </x:c>
      <x:c r="D102" t="str">
        <x:v>Card Settlement</x:v>
      </x:c>
      <x:c r="E102" s="2" t="n">
        <x:v>3629.11</x:v>
      </x:c>
      <x:c r="F102" t="str">
        <x:v>US</x:v>
      </x:c>
      <x:c r="G102" t="str">
        <x:v>Routine synthetic activity</x:v>
      </x:c>
      <x:c r="H102" t="str">
        <x:f>IFERROR(VLOOKUP(C102,Customers!$A$2:$F$9,2,FALSE),"NOT FOUND")</x:f>
        <x:v>Luna Cafe</x:v>
      </x:c>
      <x:c r="I102" t="str">
        <x:f>IFERROR(VLOOKUP(C102,Customers!$A$2:$F$9,4,FALSE),"NOT FOUND")</x:f>
        <x:v>Low</x:v>
      </x:c>
      <x:c r="J102" t="str">
        <x:f>IF(AND(D102="Cash Deposit",E102&gt;=9000),"REVIEW - TRAINING THRESHOLD",IF(AND(D102="International Wire",E102&gt;=13000),"REVIEW - CROSS-BORDER",""))</x:f>
      </x:c>
    </x:row>
    <x:row r="103">
      <x:c r="A103" t="str">
        <x:v>T0102</x:v>
      </x:c>
      <x:c r="B103" t="str">
        <x:v>2026-08-29</x:v>
      </x:c>
      <x:c r="C103" t="str">
        <x:v>C003</x:v>
      </x:c>
      <x:c r="D103" t="str">
        <x:v>Cash Deposit</x:v>
      </x:c>
      <x:c r="E103" s="2" t="n">
        <x:v>918.85</x:v>
      </x:c>
      <x:c r="F103" t="str">
        <x:v>US</x:v>
      </x:c>
      <x:c r="G103" t="str">
        <x:v>Routine synthetic activity</x:v>
      </x:c>
      <x:c r="H103" t="str">
        <x:f>IFERROR(VLOOKUP(C103,Customers!$A$2:$F$9,2,FALSE),"NOT FOUND")</x:f>
        <x:v>Atlas Imports</x:v>
      </x:c>
      <x:c r="I103" t="str">
        <x:f>IFERROR(VLOOKUP(C103,Customers!$A$2:$F$9,4,FALSE),"NOT FOUND")</x:f>
        <x:v>High</x:v>
      </x:c>
      <x:c r="J103" t="str">
        <x:f>IF(AND(D103="Cash Deposit",E103&gt;=9000),"REVIEW - TRAINING THRESHOLD",IF(AND(D103="International Wire",E103&gt;=13000),"REVIEW - CROSS-BORDER",""))</x:f>
      </x:c>
    </x:row>
    <x:row r="104">
      <x:c r="A104" t="str">
        <x:v>T0103</x:v>
      </x:c>
      <x:c r="B104" t="str">
        <x:v>2026-08-04</x:v>
      </x:c>
      <x:c r="C104" t="str">
        <x:v>C002</x:v>
      </x:c>
      <x:c r="D104" t="str">
        <x:v>Domestic Wire</x:v>
      </x:c>
      <x:c r="E104" s="2" t="n">
        <x:v>1036.09</x:v>
      </x:c>
      <x:c r="F104" t="str">
        <x:v>US</x:v>
      </x:c>
      <x:c r="G104" t="str">
        <x:v>Routine synthetic activity</x:v>
      </x:c>
      <x:c r="H104" t="str">
        <x:f>IFERROR(VLOOKUP(C104,Customers!$A$2:$F$9,2,FALSE),"NOT FOUND")</x:f>
        <x:v>Blue Heron Design</x:v>
      </x:c>
      <x:c r="I104" t="str">
        <x:f>IFERROR(VLOOKUP(C104,Customers!$A$2:$F$9,4,FALSE),"NOT FOUND")</x:f>
        <x:v>Low</x:v>
      </x:c>
      <x:c r="J104" t="str">
        <x:f>IF(AND(D104="Cash Deposit",E104&gt;=9000),"REVIEW - TRAINING THRESHOLD",IF(AND(D104="International Wire",E104&gt;=13000),"REVIEW - CROSS-BORDER",""))</x:f>
      </x:c>
    </x:row>
    <x:row r="105">
      <x:c r="A105" t="str">
        <x:v>T0104</x:v>
      </x:c>
      <x:c r="B105" t="str">
        <x:v>2026-08-07</x:v>
      </x:c>
      <x:c r="C105" t="str">
        <x:v>C001</x:v>
      </x:c>
      <x:c r="D105" t="str">
        <x:v>ACH Debit</x:v>
      </x:c>
      <x:c r="E105" s="2" t="n">
        <x:v>374.33</x:v>
      </x:c>
      <x:c r="F105" t="str">
        <x:v>US</x:v>
      </x:c>
      <x:c r="G105" t="str">
        <x:v>Routine synthetic activity</x:v>
      </x:c>
      <x:c r="H105" t="str">
        <x:f>IFERROR(VLOOKUP(C105,Customers!$A$2:$F$9,2,FALSE),"NOT FOUND")</x:f>
        <x:v>Cedar Market</x:v>
      </x:c>
      <x:c r="I105" t="str">
        <x:f>IFERROR(VLOOKUP(C105,Customers!$A$2:$F$9,4,FALSE),"NOT FOUND")</x:f>
        <x:v>Medium</x:v>
      </x:c>
      <x:c r="J105" t="str">
        <x:f>IF(AND(D105="Cash Deposit",E105&gt;=9000),"REVIEW - TRAINING THRESHOLD",IF(AND(D105="International Wire",E105&gt;=13000),"REVIEW - CROSS-BORDER",""))</x:f>
      </x:c>
    </x:row>
    <x:row r="106">
      <x:c r="A106" t="str">
        <x:v>T0105</x:v>
      </x:c>
      <x:c r="B106" t="str">
        <x:v>2026-08-10</x:v>
      </x:c>
      <x:c r="C106" t="str">
        <x:v>C008</x:v>
      </x:c>
      <x:c r="D106" t="str">
        <x:v>ACH Credit</x:v>
      </x:c>
      <x:c r="E106" s="2" t="n">
        <x:v>1182.68</x:v>
      </x:c>
      <x:c r="F106" t="str">
        <x:v>US</x:v>
      </x:c>
      <x:c r="G106" t="str">
        <x:v>Routine synthetic activity</x:v>
      </x:c>
      <x:c r="H106" t="str">
        <x:f>IFERROR(VLOOKUP(C106,Customers!$A$2:$F$9,2,FALSE),"NOT FOUND")</x:f>
        <x:v>Orchid Logistics</x:v>
      </x:c>
      <x:c r="I106" t="str">
        <x:f>IFERROR(VLOOKUP(C106,Customers!$A$2:$F$9,4,FALSE),"NOT FOUND")</x:f>
        <x:v>High</x:v>
      </x:c>
      <x:c r="J106" t="str">
        <x:f>IF(AND(D106="Cash Deposit",E106&gt;=9000),"REVIEW - TRAINING THRESHOLD",IF(AND(D106="International Wire",E106&gt;=13000),"REVIEW - CROSS-BORDER",""))</x:f>
      </x:c>
    </x:row>
    <x:row r="107">
      <x:c r="A107" t="str">
        <x:v>T0106</x:v>
      </x:c>
      <x:c r="B107" t="str">
        <x:v>2026-08-13</x:v>
      </x:c>
      <x:c r="C107" t="str">
        <x:v>C007</x:v>
      </x:c>
      <x:c r="D107" t="str">
        <x:v>Card Settlement</x:v>
      </x:c>
      <x:c r="E107" s="2" t="n">
        <x:v>1765.78</x:v>
      </x:c>
      <x:c r="F107" t="str">
        <x:v>US</x:v>
      </x:c>
      <x:c r="G107" t="str">
        <x:v>Routine synthetic activity</x:v>
      </x:c>
      <x:c r="H107" t="str">
        <x:f>IFERROR(VLOOKUP(C107,Customers!$A$2:$F$9,2,FALSE),"NOT FOUND")</x:f>
        <x:v>Summit Supplies</x:v>
      </x:c>
      <x:c r="I107" t="str">
        <x:f>IFERROR(VLOOKUP(C107,Customers!$A$2:$F$9,4,FALSE),"NOT FOUND")</x:f>
        <x:v>Medium</x:v>
      </x:c>
      <x:c r="J107" t="str">
        <x:f>IF(AND(D107="Cash Deposit",E107&gt;=9000),"REVIEW - TRAINING THRESHOLD",IF(AND(D107="International Wire",E107&gt;=13000),"REVIEW - CROSS-BORDER",""))</x:f>
      </x:c>
    </x:row>
    <x:row r="108">
      <x:c r="A108" t="str">
        <x:v>T0107</x:v>
      </x:c>
      <x:c r="B108" t="str">
        <x:v>2026-08-16</x:v>
      </x:c>
      <x:c r="C108" t="str">
        <x:v>C006</x:v>
      </x:c>
      <x:c r="D108" t="str">
        <x:v>Cash Deposit</x:v>
      </x:c>
      <x:c r="E108" s="2" t="n">
        <x:v>2572.38</x:v>
      </x:c>
      <x:c r="F108" t="str">
        <x:v>US</x:v>
      </x:c>
      <x:c r="G108" t="str">
        <x:v>Routine synthetic activity</x:v>
      </x:c>
      <x:c r="H108" t="str">
        <x:f>IFERROR(VLOOKUP(C108,Customers!$A$2:$F$9,2,FALSE),"NOT FOUND")</x:f>
        <x:v>Maple Books</x:v>
      </x:c>
      <x:c r="I108" t="str">
        <x:f>IFERROR(VLOOKUP(C108,Customers!$A$2:$F$9,4,FALSE),"NOT FOUND")</x:f>
        <x:v>Low</x:v>
      </x:c>
      <x:c r="J108" t="str">
        <x:f>IF(AND(D108="Cash Deposit",E108&gt;=9000),"REVIEW - TRAINING THRESHOLD",IF(AND(D108="International Wire",E108&gt;=13000),"REVIEW - CROSS-BORDER",""))</x:f>
      </x:c>
    </x:row>
    <x:row r="109">
      <x:c r="A109" t="str">
        <x:v>T0108</x:v>
      </x:c>
      <x:c r="B109" t="str">
        <x:v>2026-08-19</x:v>
      </x:c>
      <x:c r="C109" t="str">
        <x:v>C005</x:v>
      </x:c>
      <x:c r="D109" t="str">
        <x:v>Domestic Wire</x:v>
      </x:c>
      <x:c r="E109" s="2" t="n">
        <x:v>145.48</x:v>
      </x:c>
      <x:c r="F109" t="str">
        <x:v>US</x:v>
      </x:c>
      <x:c r="G109" t="str">
        <x:v>Routine synthetic activity</x:v>
      </x:c>
      <x:c r="H109" t="str">
        <x:f>IFERROR(VLOOKUP(C109,Customers!$A$2:$F$9,2,FALSE),"NOT FOUND")</x:f>
        <x:v>River Bend Services</x:v>
      </x:c>
      <x:c r="I109" t="str">
        <x:f>IFERROR(VLOOKUP(C109,Customers!$A$2:$F$9,4,FALSE),"NOT FOUND")</x:f>
        <x:v>Medium</x:v>
      </x:c>
      <x:c r="J109" t="str">
        <x:f>IF(AND(D109="Cash Deposit",E109&gt;=9000),"REVIEW - TRAINING THRESHOLD",IF(AND(D109="International Wire",E109&gt;=13000),"REVIEW - CROSS-BORDER",""))</x:f>
      </x:c>
    </x:row>
    <x:row r="110">
      <x:c r="A110" t="str">
        <x:v>T0109</x:v>
      </x:c>
      <x:c r="B110" t="str">
        <x:v>2026-08-22</x:v>
      </x:c>
      <x:c r="C110" t="str">
        <x:v>C004</x:v>
      </x:c>
      <x:c r="D110" t="str">
        <x:v>ACH Debit</x:v>
      </x:c>
      <x:c r="E110" s="2" t="n">
        <x:v>3574.69</x:v>
      </x:c>
      <x:c r="F110" t="str">
        <x:v>US</x:v>
      </x:c>
      <x:c r="G110" t="str">
        <x:v>Routine synthetic activity</x:v>
      </x:c>
      <x:c r="H110" t="str">
        <x:f>IFERROR(VLOOKUP(C110,Customers!$A$2:$F$9,2,FALSE),"NOT FOUND")</x:f>
        <x:v>Luna Cafe</x:v>
      </x:c>
      <x:c r="I110" t="str">
        <x:f>IFERROR(VLOOKUP(C110,Customers!$A$2:$F$9,4,FALSE),"NOT FOUND")</x:f>
        <x:v>Low</x:v>
      </x:c>
      <x:c r="J110" t="str">
        <x:f>IF(AND(D110="Cash Deposit",E110&gt;=9000),"REVIEW - TRAINING THRESHOLD",IF(AND(D110="International Wire",E110&gt;=13000),"REVIEW - CROSS-BORDER",""))</x:f>
      </x:c>
    </x:row>
    <x:row r="111">
      <x:c r="A111" t="str">
        <x:v>T0110</x:v>
      </x:c>
      <x:c r="B111" t="str">
        <x:v>2026-08-25</x:v>
      </x:c>
      <x:c r="C111" t="str">
        <x:v>C003</x:v>
      </x:c>
      <x:c r="D111" t="str">
        <x:v>ACH Credit</x:v>
      </x:c>
      <x:c r="E111" s="2" t="n">
        <x:v>2821.04</x:v>
      </x:c>
      <x:c r="F111" t="str">
        <x:v>US</x:v>
      </x:c>
      <x:c r="G111" t="str">
        <x:v>Routine synthetic activity</x:v>
      </x:c>
      <x:c r="H111" t="str">
        <x:f>IFERROR(VLOOKUP(C111,Customers!$A$2:$F$9,2,FALSE),"NOT FOUND")</x:f>
        <x:v>Atlas Imports</x:v>
      </x:c>
      <x:c r="I111" t="str">
        <x:f>IFERROR(VLOOKUP(C111,Customers!$A$2:$F$9,4,FALSE),"NOT FOUND")</x:f>
        <x:v>High</x:v>
      </x:c>
      <x:c r="J111" t="str">
        <x:f>IF(AND(D111="Cash Deposit",E111&gt;=9000),"REVIEW - TRAINING THRESHOLD",IF(AND(D111="International Wire",E111&gt;=13000),"REVIEW - CROSS-BORDER",""))</x:f>
      </x:c>
    </x:row>
    <x:row r="112">
      <x:c r="A112" t="str">
        <x:v>T0111</x:v>
      </x:c>
      <x:c r="B112" t="str">
        <x:v>2026-08-28</x:v>
      </x:c>
      <x:c r="C112" t="str">
        <x:v>C002</x:v>
      </x:c>
      <x:c r="D112" t="str">
        <x:v>Card Settlement</x:v>
      </x:c>
      <x:c r="E112" s="2" t="n">
        <x:v>511.66</x:v>
      </x:c>
      <x:c r="F112" t="str">
        <x:v>US</x:v>
      </x:c>
      <x:c r="G112" t="str">
        <x:v>Routine synthetic activity</x:v>
      </x:c>
      <x:c r="H112" t="str">
        <x:f>IFERROR(VLOOKUP(C112,Customers!$A$2:$F$9,2,FALSE),"NOT FOUND")</x:f>
        <x:v>Blue Heron Design</x:v>
      </x:c>
      <x:c r="I112" t="str">
        <x:f>IFERROR(VLOOKUP(C112,Customers!$A$2:$F$9,4,FALSE),"NOT FOUND")</x:f>
        <x:v>Low</x:v>
      </x:c>
      <x:c r="J112" t="str">
        <x:f>IF(AND(D112="Cash Deposit",E112&gt;=9000),"REVIEW - TRAINING THRESHOLD",IF(AND(D112="International Wire",E112&gt;=13000),"REVIEW - CROSS-BORDER",""))</x:f>
      </x:c>
    </x:row>
    <x:row r="113">
      <x:c r="A113" t="str">
        <x:v>T0112</x:v>
      </x:c>
      <x:c r="B113" t="str">
        <x:v>2026-08-03</x:v>
      </x:c>
      <x:c r="C113" t="str">
        <x:v>C001</x:v>
      </x:c>
      <x:c r="D113" t="str">
        <x:v>Cash Deposit</x:v>
      </x:c>
      <x:c r="E113" s="2" t="n">
        <x:v>3772.89</x:v>
      </x:c>
      <x:c r="F113" t="str">
        <x:v>US</x:v>
      </x:c>
      <x:c r="G113" t="str">
        <x:v>Routine synthetic activity</x:v>
      </x:c>
      <x:c r="H113" t="str">
        <x:f>IFERROR(VLOOKUP(C113,Customers!$A$2:$F$9,2,FALSE),"NOT FOUND")</x:f>
        <x:v>Cedar Market</x:v>
      </x:c>
      <x:c r="I113" t="str">
        <x:f>IFERROR(VLOOKUP(C113,Customers!$A$2:$F$9,4,FALSE),"NOT FOUND")</x:f>
        <x:v>Medium</x:v>
      </x:c>
      <x:c r="J113" t="str">
        <x:f>IF(AND(D113="Cash Deposit",E113&gt;=9000),"REVIEW - TRAINING THRESHOLD",IF(AND(D113="International Wire",E113&gt;=13000),"REVIEW - CROSS-BORDER",""))</x:f>
      </x:c>
    </x:row>
    <x:row r="114">
      <x:c r="A114" t="str">
        <x:v>T0113</x:v>
      </x:c>
      <x:c r="B114" t="str">
        <x:v>2026-08-06</x:v>
      </x:c>
      <x:c r="C114" t="str">
        <x:v>C008</x:v>
      </x:c>
      <x:c r="D114" t="str">
        <x:v>Domestic Wire</x:v>
      </x:c>
      <x:c r="E114" s="2" t="n">
        <x:v>659.57</x:v>
      </x:c>
      <x:c r="F114" t="str">
        <x:v>US</x:v>
      </x:c>
      <x:c r="G114" t="str">
        <x:v>Routine synthetic activity</x:v>
      </x:c>
      <x:c r="H114" t="str">
        <x:f>IFERROR(VLOOKUP(C114,Customers!$A$2:$F$9,2,FALSE),"NOT FOUND")</x:f>
        <x:v>Orchid Logistics</x:v>
      </x:c>
      <x:c r="I114" t="str">
        <x:f>IFERROR(VLOOKUP(C114,Customers!$A$2:$F$9,4,FALSE),"NOT FOUND")</x:f>
        <x:v>High</x:v>
      </x:c>
      <x:c r="J114" t="str">
        <x:f>IF(AND(D114="Cash Deposit",E114&gt;=9000),"REVIEW - TRAINING THRESHOLD",IF(AND(D114="International Wire",E114&gt;=13000),"REVIEW - CROSS-BORDER",""))</x:f>
      </x:c>
    </x:row>
    <x:row r="115">
      <x:c r="A115" t="str">
        <x:v>T0114</x:v>
      </x:c>
      <x:c r="B115" t="str">
        <x:v>2026-08-09</x:v>
      </x:c>
      <x:c r="C115" t="str">
        <x:v>C007</x:v>
      </x:c>
      <x:c r="D115" t="str">
        <x:v>ACH Debit</x:v>
      </x:c>
      <x:c r="E115" s="2" t="n">
        <x:v>2895.27</x:v>
      </x:c>
      <x:c r="F115" t="str">
        <x:v>US</x:v>
      </x:c>
      <x:c r="G115" t="str">
        <x:v>Routine synthetic activity</x:v>
      </x:c>
      <x:c r="H115" t="str">
        <x:f>IFERROR(VLOOKUP(C115,Customers!$A$2:$F$9,2,FALSE),"NOT FOUND")</x:f>
        <x:v>Summit Supplies</x:v>
      </x:c>
      <x:c r="I115" t="str">
        <x:f>IFERROR(VLOOKUP(C115,Customers!$A$2:$F$9,4,FALSE),"NOT FOUND")</x:f>
        <x:v>Medium</x:v>
      </x:c>
      <x:c r="J115" t="str">
        <x:f>IF(AND(D115="Cash Deposit",E115&gt;=9000),"REVIEW - TRAINING THRESHOLD",IF(AND(D115="International Wire",E115&gt;=13000),"REVIEW - CROSS-BORDER",""))</x:f>
      </x:c>
    </x:row>
    <x:row r="116">
      <x:c r="A116" t="str">
        <x:v>T0115</x:v>
      </x:c>
      <x:c r="B116" t="str">
        <x:v>2026-08-12</x:v>
      </x:c>
      <x:c r="C116" t="str">
        <x:v>C006</x:v>
      </x:c>
      <x:c r="D116" t="str">
        <x:v>ACH Credit</x:v>
      </x:c>
      <x:c r="E116" s="2" t="n">
        <x:v>262.91</x:v>
      </x:c>
      <x:c r="F116" t="str">
        <x:v>US</x:v>
      </x:c>
      <x:c r="G116" t="str">
        <x:v>Routine synthetic activity</x:v>
      </x:c>
      <x:c r="H116" t="str">
        <x:f>IFERROR(VLOOKUP(C116,Customers!$A$2:$F$9,2,FALSE),"NOT FOUND")</x:f>
        <x:v>Maple Books</x:v>
      </x:c>
      <x:c r="I116" t="str">
        <x:f>IFERROR(VLOOKUP(C116,Customers!$A$2:$F$9,4,FALSE),"NOT FOUND")</x:f>
        <x:v>Low</x:v>
      </x:c>
      <x:c r="J116" t="str">
        <x:f>IF(AND(D116="Cash Deposit",E116&gt;=9000),"REVIEW - TRAINING THRESHOLD",IF(AND(D116="International Wire",E116&gt;=13000),"REVIEW - CROSS-BORDER",""))</x:f>
      </x:c>
    </x:row>
    <x:row r="117">
      <x:c r="A117" t="str">
        <x:v>T0116</x:v>
      </x:c>
      <x:c r="B117" t="str">
        <x:v>2026-08-15</x:v>
      </x:c>
      <x:c r="C117" t="str">
        <x:v>C005</x:v>
      </x:c>
      <x:c r="D117" t="str">
        <x:v>Card Settlement</x:v>
      </x:c>
      <x:c r="E117" s="2" t="n">
        <x:v>2471.13</x:v>
      </x:c>
      <x:c r="F117" t="str">
        <x:v>US</x:v>
      </x:c>
      <x:c r="G117" t="str">
        <x:v>Routine synthetic activity</x:v>
      </x:c>
      <x:c r="H117" t="str">
        <x:f>IFERROR(VLOOKUP(C117,Customers!$A$2:$F$9,2,FALSE),"NOT FOUND")</x:f>
        <x:v>River Bend Services</x:v>
      </x:c>
      <x:c r="I117" t="str">
        <x:f>IFERROR(VLOOKUP(C117,Customers!$A$2:$F$9,4,FALSE),"NOT FOUND")</x:f>
        <x:v>Medium</x:v>
      </x:c>
      <x:c r="J117" t="str">
        <x:f>IF(AND(D117="Cash Deposit",E117&gt;=9000),"REVIEW - TRAINING THRESHOLD",IF(AND(D117="International Wire",E117&gt;=13000),"REVIEW - CROSS-BORDER",""))</x:f>
      </x:c>
    </x:row>
    <x:row r="118">
      <x:c r="A118" t="str">
        <x:v>T0117</x:v>
      </x:c>
      <x:c r="B118" t="str">
        <x:v>2026-08-18</x:v>
      </x:c>
      <x:c r="C118" t="str">
        <x:v>C004</x:v>
      </x:c>
      <x:c r="D118" t="str">
        <x:v>Cash Deposit</x:v>
      </x:c>
      <x:c r="E118" s="2" t="n">
        <x:v>2767.49</x:v>
      </x:c>
      <x:c r="F118" t="str">
        <x:v>US</x:v>
      </x:c>
      <x:c r="G118" t="str">
        <x:v>Routine synthetic activity</x:v>
      </x:c>
      <x:c r="H118" t="str">
        <x:f>IFERROR(VLOOKUP(C118,Customers!$A$2:$F$9,2,FALSE),"NOT FOUND")</x:f>
        <x:v>Luna Cafe</x:v>
      </x:c>
      <x:c r="I118" t="str">
        <x:f>IFERROR(VLOOKUP(C118,Customers!$A$2:$F$9,4,FALSE),"NOT FOUND")</x:f>
        <x:v>Low</x:v>
      </x:c>
      <x:c r="J118" t="str">
        <x:f>IF(AND(D118="Cash Deposit",E118&gt;=9000),"REVIEW - TRAINING THRESHOLD",IF(AND(D118="International Wire",E118&gt;=13000),"REVIEW - CROSS-BORDER",""))</x:f>
      </x:c>
    </x:row>
    <x:row r="119">
      <x:c r="A119" t="str">
        <x:v>T0118</x:v>
      </x:c>
      <x:c r="B119" t="str">
        <x:v>2026-08-21</x:v>
      </x:c>
      <x:c r="C119" t="str">
        <x:v>C003</x:v>
      </x:c>
      <x:c r="D119" t="str">
        <x:v>Domestic Wire</x:v>
      </x:c>
      <x:c r="E119" s="2" t="n">
        <x:v>3123.56</x:v>
      </x:c>
      <x:c r="F119" t="str">
        <x:v>US</x:v>
      </x:c>
      <x:c r="G119" t="str">
        <x:v>Routine synthetic activity</x:v>
      </x:c>
      <x:c r="H119" t="str">
        <x:f>IFERROR(VLOOKUP(C119,Customers!$A$2:$F$9,2,FALSE),"NOT FOUND")</x:f>
        <x:v>Atlas Imports</x:v>
      </x:c>
      <x:c r="I119" t="str">
        <x:f>IFERROR(VLOOKUP(C119,Customers!$A$2:$F$9,4,FALSE),"NOT FOUND")</x:f>
        <x:v>High</x:v>
      </x:c>
      <x:c r="J119" t="str">
        <x:f>IF(AND(D119="Cash Deposit",E119&gt;=9000),"REVIEW - TRAINING THRESHOLD",IF(AND(D119="International Wire",E119&gt;=13000),"REVIEW - CROSS-BORDER",""))</x:f>
      </x:c>
    </x:row>
    <x:row r="120">
      <x:c r="A120" t="str">
        <x:v>T0119</x:v>
      </x:c>
      <x:c r="B120" t="str">
        <x:v>2026-08-24</x:v>
      </x:c>
      <x:c r="C120" t="str">
        <x:v>C002</x:v>
      </x:c>
      <x:c r="D120" t="str">
        <x:v>ACH Debit</x:v>
      </x:c>
      <x:c r="E120" s="2" t="n">
        <x:v>3671.71</x:v>
      </x:c>
      <x:c r="F120" t="str">
        <x:v>US</x:v>
      </x:c>
      <x:c r="G120" t="str">
        <x:v>Routine synthetic activity</x:v>
      </x:c>
      <x:c r="H120" t="str">
        <x:f>IFERROR(VLOOKUP(C120,Customers!$A$2:$F$9,2,FALSE),"NOT FOUND")</x:f>
        <x:v>Blue Heron Design</x:v>
      </x:c>
      <x:c r="I120" t="str">
        <x:f>IFERROR(VLOOKUP(C120,Customers!$A$2:$F$9,4,FALSE),"NOT FOUND")</x:f>
        <x:v>Low</x:v>
      </x:c>
      <x:c r="J120" t="str">
        <x:f>IF(AND(D120="Cash Deposit",E120&gt;=9000),"REVIEW - TRAINING THRESHOLD",IF(AND(D120="International Wire",E120&gt;=13000),"REVIEW - CROSS-BORDER",""))</x:f>
      </x:c>
    </x:row>
    <x:row r="121">
      <x:c r="A121" t="str">
        <x:v>T0120</x:v>
      </x:c>
      <x:c r="B121" t="str">
        <x:v>2026-08-27</x:v>
      </x:c>
      <x:c r="C121" t="str">
        <x:v>C001</x:v>
      </x:c>
      <x:c r="D121" t="str">
        <x:v>ACH Credit</x:v>
      </x:c>
      <x:c r="E121" s="2" t="n">
        <x:v>3844.18</x:v>
      </x:c>
      <x:c r="F121" t="str">
        <x:v>US</x:v>
      </x:c>
      <x:c r="G121" t="str">
        <x:v>Routine synthetic activity</x:v>
      </x:c>
      <x:c r="H121" t="str">
        <x:f>IFERROR(VLOOKUP(C121,Customers!$A$2:$F$9,2,FALSE),"NOT FOUND")</x:f>
        <x:v>Cedar Market</x:v>
      </x:c>
      <x:c r="I121" t="str">
        <x:f>IFERROR(VLOOKUP(C121,Customers!$A$2:$F$9,4,FALSE),"NOT FOUND")</x:f>
        <x:v>Medium</x:v>
      </x:c>
      <x:c r="J121" t="str">
        <x:f>IF(AND(D121="Cash Deposit",E121&gt;=9000),"REVIEW - TRAINING THRESHOLD",IF(AND(D121="International Wire",E121&gt;=13000),"REVIEW - CROSS-BORDER",""))</x:f>
      </x:c>
    </x:row>
  </x:sheetData>
  <x:conditionalFormatting sqref="J2:J121">
    <x:cfRule type="expression" dxfId="0" priority="1">
      <x:formula>LEFT(J2,6)="REVIEW"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2f0bc126964b0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30" customHeight="1">
      <x:c r="A1" s="8" t="str">
        <x:v>Customer ID</x:v>
      </x:c>
      <x:c r="B1" s="8" t="str">
        <x:v>Customer Name</x:v>
      </x:c>
      <x:c r="C1" s="8" t="str">
        <x:v>Industry</x:v>
      </x:c>
      <x:c r="D1" s="8" t="str">
        <x:v>Risk Rating</x:v>
      </x:c>
      <x:c r="E1" s="8" t="str">
        <x:v>Home Country</x:v>
      </x:c>
      <x:c r="F1" s="8" t="str">
        <x:v>Expected Monthly Activity USD</x:v>
      </x:c>
    </x:row>
    <x:row r="2">
      <x:c r="A2" t="str">
        <x:v>C001</x:v>
      </x:c>
      <x:c r="B2" t="str">
        <x:v>Cedar Market</x:v>
      </x:c>
      <x:c r="C2" t="str">
        <x:v>Retail</x:v>
      </x:c>
      <x:c r="D2" t="str">
        <x:v>Medium</x:v>
      </x:c>
      <x:c r="E2" t="str">
        <x:v>US</x:v>
      </x:c>
      <x:c r="F2" s="2" t="n">
        <x:v>5200</x:v>
      </x:c>
    </x:row>
    <x:row r="3">
      <x:c r="A3" t="str">
        <x:v>C002</x:v>
      </x:c>
      <x:c r="B3" t="str">
        <x:v>Blue Heron Design</x:v>
      </x:c>
      <x:c r="C3" t="str">
        <x:v>Consulting</x:v>
      </x:c>
      <x:c r="D3" t="str">
        <x:v>Low</x:v>
      </x:c>
      <x:c r="E3" t="str">
        <x:v>US</x:v>
      </x:c>
      <x:c r="F3" s="2" t="n">
        <x:v>3400</x:v>
      </x:c>
    </x:row>
    <x:row r="4">
      <x:c r="A4" t="str">
        <x:v>C003</x:v>
      </x:c>
      <x:c r="B4" t="str">
        <x:v>Atlas Imports</x:v>
      </x:c>
      <x:c r="C4" t="str">
        <x:v>Import / Export</x:v>
      </x:c>
      <x:c r="D4" t="str">
        <x:v>High</x:v>
      </x:c>
      <x:c r="E4" t="str">
        <x:v>US</x:v>
      </x:c>
      <x:c r="F4" s="2" t="n">
        <x:v>9800</x:v>
      </x:c>
    </x:row>
    <x:row r="5">
      <x:c r="A5" t="str">
        <x:v>C004</x:v>
      </x:c>
      <x:c r="B5" t="str">
        <x:v>Luna Cafe</x:v>
      </x:c>
      <x:c r="C5" t="str">
        <x:v>Restaurant</x:v>
      </x:c>
      <x:c r="D5" t="str">
        <x:v>Low</x:v>
      </x:c>
      <x:c r="E5" t="str">
        <x:v>US</x:v>
      </x:c>
      <x:c r="F5" s="2" t="n">
        <x:v>2800</x:v>
      </x:c>
    </x:row>
    <x:row r="6">
      <x:c r="A6" t="str">
        <x:v>C005</x:v>
      </x:c>
      <x:c r="B6" t="str">
        <x:v>River Bend Services</x:v>
      </x:c>
      <x:c r="C6" t="str">
        <x:v>Services</x:v>
      </x:c>
      <x:c r="D6" t="str">
        <x:v>Medium</x:v>
      </x:c>
      <x:c r="E6" t="str">
        <x:v>US</x:v>
      </x:c>
      <x:c r="F6" s="2" t="n">
        <x:v>4600</x:v>
      </x:c>
    </x:row>
    <x:row r="7">
      <x:c r="A7" t="str">
        <x:v>C006</x:v>
      </x:c>
      <x:c r="B7" t="str">
        <x:v>Maple Books</x:v>
      </x:c>
      <x:c r="C7" t="str">
        <x:v>Retail</x:v>
      </x:c>
      <x:c r="D7" t="str">
        <x:v>Low</x:v>
      </x:c>
      <x:c r="E7" t="str">
        <x:v>US</x:v>
      </x:c>
      <x:c r="F7" s="2" t="n">
        <x:v>1800</x:v>
      </x:c>
    </x:row>
    <x:row r="8">
      <x:c r="A8" t="str">
        <x:v>C007</x:v>
      </x:c>
      <x:c r="B8" t="str">
        <x:v>Summit Supplies</x:v>
      </x:c>
      <x:c r="C8" t="str">
        <x:v>Wholesale</x:v>
      </x:c>
      <x:c r="D8" t="str">
        <x:v>Medium</x:v>
      </x:c>
      <x:c r="E8" t="str">
        <x:v>US</x:v>
      </x:c>
      <x:c r="F8" s="2" t="n">
        <x:v>6800</x:v>
      </x:c>
    </x:row>
    <x:row r="9">
      <x:c r="A9" t="str">
        <x:v>C008</x:v>
      </x:c>
      <x:c r="B9" t="str">
        <x:v>Orchid Logistics</x:v>
      </x:c>
      <x:c r="C9" t="str">
        <x:v>Transportation</x:v>
      </x:c>
      <x:c r="D9" t="str">
        <x:v>High</x:v>
      </x:c>
      <x:c r="E9" t="str">
        <x:v>US</x:v>
      </x:c>
      <x:c r="F9" s="2" t="n">
        <x:v>11500</x:v>
      </x:c>
    </x:row>
  </x:sheetData>
  <x:pageMargins left="0.7" right="0.7" top="0.75" bottom="0.75" header="0.3" footer="0.3"/>
  <x:tableParts count="1">
    <x:tablePart xmlns:r="http://schemas.openxmlformats.org/officeDocument/2006/relationships" r:id="R5994b69170c540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5" t="str">
        <x:v>AML / KYC PORTFOLIO — WORKBOOK GUIDE</x:v>
      </x:c>
      <x:c r="B1" s="5"/>
    </x:row>
    <x:row r="2">
      <x:c r="A2" t="str">
        <x:v>Author</x:v>
      </x:c>
      <x:c r="B2" t="str">
        <x:v>Ihab Diab</x:v>
      </x:c>
    </x:row>
    <x:row r="3">
      <x:c r="A3" t="str">
        <x:v>Purpose</x:v>
      </x:c>
      <x:c r="B3" t="str">
        <x:v>Self-directed practice using entirely synthetic records. Not professional AML experience.</x:v>
      </x:c>
    </x:row>
    <x:row r="4">
      <x:c r="A4" t="str">
        <x:v>Exercise 1</x:v>
      </x:c>
      <x:c r="B4" t="str">
        <x:v>Filter Transaction Type = Cash Deposit; sort Amount descending.</x:v>
      </x:c>
    </x:row>
    <x:row r="5">
      <x:c r="A5" t="str">
        <x:v>Exercise 2</x:v>
      </x:c>
      <x:c r="B5" t="str">
        <x:v>Inspect the grouped C001 deposits dated Aug 12–15. Compare to customer expected activity.</x:v>
      </x:c>
    </x:row>
    <x:row r="6">
      <x:c r="A6" t="str">
        <x:v>Exercise 3</x:v>
      </x:c>
      <x:c r="B6" t="str">
        <x:v>Use the prefilled VLOOKUP formulas in columns H and I to link customer profiles.</x:v>
      </x:c>
    </x:row>
    <x:row r="7">
      <x:c r="A7" t="str">
        <x:v>Exercise 4</x:v>
      </x:c>
      <x:c r="B7" t="str">
        <x:v>Filter Training Flag for REVIEW; assess whether each alert needs additional review.</x:v>
      </x:c>
    </x:row>
    <x:row r="8">
      <x:c r="A8" t="str">
        <x:v>Exercise 5</x:v>
      </x:c>
      <x:c r="B8" t="str">
        <x:v>Complete the Case Log sheet in your own words; distinguish observations from conclusions.</x:v>
      </x:c>
    </x:row>
    <x:row r="9">
      <x:c r="A9" t="str">
        <x:v>Important</x:v>
      </x:c>
      <x:c r="B9" t="str">
        <x:v>9000 / 13000 are fictional training filters, NOT regulatory or SAR thresholds.</x:v>
      </x:c>
    </x:row>
    <x:row r="10">
      <x:c r="A10" t="str">
        <x:v>Note</x:v>
      </x:c>
      <x:c r="B10" t="str">
        <x:v>Country X is a fictional jurisdiction; no country risk is inferred.</x:v>
      </x:c>
    </x:row>
    <x:row r="11">
      <x:c r="A11" t="str">
        <x:v>Excel</x:v>
      </x:c>
      <x:c r="B11" t="str">
        <x:v>Formula examples: =VLOOKUP(C2,Customers!$A$2:$F$9,4,FALSE) and =IF(...).</x:v>
      </x:c>
    </x:row>
    <x:row r="12">
      <x:c r="A12" t="str">
        <x:v>Validation</x:v>
      </x:c>
      <x:c r="B12" t="str">
        <x:v>Excel recalculates formulas when opened. Review any differences in other spreadsheet viewers.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5" hidden="0" customWidth="1"/>
    <x:col min="4" max="4" width="65" hidden="0" customWidth="1"/>
    <x:col min="5" max="5" width="28" hidden="0" customWidth="1"/>
    <x:col min="6" max="6" width="55" hidden="0" customWidth="1"/>
  </x:cols>
  <x:sheetData>
    <x:row r="1">
      <x:c r="A1" s="5" t="str">
        <x:v>Case ID</x:v>
      </x:c>
      <x:c r="B1" s="5" t="str">
        <x:v>Subject</x:v>
      </x:c>
      <x:c r="C1" s="5" t="str">
        <x:v>Observed facts</x:v>
      </x:c>
      <x:c r="D1" s="5" t="str">
        <x:v>Information still needed</x:v>
      </x:c>
      <x:c r="E1" s="5" t="str">
        <x:v>Disposition (simulation)</x:v>
      </x:c>
      <x:c r="F1" s="5" t="str">
        <x:v>Analyst notes</x:v>
      </x:c>
    </x:row>
    <x:row r="2">
      <x:c r="A2" t="str">
        <x:v>TM-01</x:v>
      </x:c>
      <x:c r="B2" t="str">
        <x:v>C001 / Cedar Market</x:v>
      </x:c>
      <x:c r="C2" t="str">
        <x:v>Four cash deposits Aug 12-15: $9,200, $9,450, $9,700, $9,350</x:v>
      </x:c>
      <x:c r="D2" t="str">
        <x:v>Account history, legitimate sales records, explanation of cash sources</x:v>
      </x:c>
      <x:c r="E2" t="str">
        <x:v>Escalate for further review (training)</x:v>
      </x:c>
      <x:c r="F2" t="str">
        <x:v>Pattern alone does not establish misconduct</x:v>
      </x:c>
    </x:row>
    <x:row r="3">
      <x:c r="A3" t="str">
        <x:v>TM-02</x:v>
      </x:c>
      <x:c r="B3" t="str">
        <x:v>C003 / Atlas Imports</x:v>
      </x:c>
      <x:c r="C3" t="str">
        <x:v>Three wires on Aug 20: $14,750, $16,200, $13,800 to fictional Country X</x:v>
      </x:c>
      <x:c r="D3" t="str">
        <x:v>Counterparty relationship, invoices, expected geography, business purpose</x:v>
      </x:c>
      <x:c r="E3" t="str">
        <x:v>Request more information (training)</x:v>
      </x:c>
      <x:c r="F3" t="str">
        <x:v>High risk label alone is not proof of suspicious activity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80" hidden="0" customWidth="1"/>
    <x:col min="3" max="3" width="24" hidden="0" customWidth="1"/>
    <x:col min="4" max="4" width="19" hidden="0" customWidth="1"/>
    <x:col min="5" max="5" width="27" hidden="0" customWidth="1"/>
    <x:col min="6" max="6" width="50" hidden="0" customWidth="1"/>
  </x:cols>
  <x:sheetData>
    <x:row r="1">
      <x:c r="A1" s="12" t="str">
        <x:v>Customer_ID</x:v>
      </x:c>
      <x:c r="B1" s="12" t="str">
        <x:v>Customer_Name</x:v>
      </x:c>
      <x:c r="C1" s="12" t="str">
        <x:v>Industry</x:v>
      </x:c>
      <x:c r="D1" s="12" t="str">
        <x:v>Risk_Rating</x:v>
      </x:c>
      <x:c r="E1" s="12" t="str">
        <x:v>Expected_Monthly_USD</x:v>
      </x:c>
      <x:c r="F1" s="12" t="str">
        <x:v>Explanation</x:v>
      </x:c>
    </x:row>
    <x:row r="2">
      <x:c r="A2" t="str">
        <x:v>C001</x:v>
      </x:c>
      <x:c r="B2" t="str">
        <x:f>VLOOKUP(A2,Customers!$A$2:$F$9,2,FALSE)</x:f>
        <x:v>Cedar Market</x:v>
      </x:c>
      <x:c r="C2" t="str">
        <x:f>VLOOKUP(A2,Customers!$A$2:$F$9,3,FALSE)</x:f>
        <x:v>Retail</x:v>
      </x:c>
      <x:c r="D2" t="str">
        <x:f>VLOOKUP(A2,Customers!$A$2:$F$9,4,FALSE)</x:f>
        <x:v>Medium</x:v>
      </x:c>
      <x:c r="E2" s="13" t="n">
        <x:f>VLOOKUP(A2,Customers!$A$2:$F$9,6,FALSE)</x:f>
        <x:v>5200</x:v>
      </x:c>
      <x:c r="F2" t="str">
        <x:v>Exact-match lookup against Customers tab</x:v>
      </x:c>
    </x:row>
    <x:row r="3">
      <x:c r="A3" t="str">
        <x:v>C002</x:v>
      </x:c>
      <x:c r="B3" t="str">
        <x:f>VLOOKUP(A3,Customers!$A$2:$F$9,2,FALSE)</x:f>
        <x:v>Blue Heron Design</x:v>
      </x:c>
      <x:c r="C3" t="str">
        <x:f>VLOOKUP(A3,Customers!$A$2:$F$9,3,FALSE)</x:f>
        <x:v>Consulting</x:v>
      </x:c>
      <x:c r="D3" t="str">
        <x:f>VLOOKUP(A3,Customers!$A$2:$F$9,4,FALSE)</x:f>
        <x:v>Low</x:v>
      </x:c>
      <x:c r="E3" s="13" t="n">
        <x:f>VLOOKUP(A3,Customers!$A$2:$F$9,6,FALSE)</x:f>
        <x:v>3400</x:v>
      </x:c>
      <x:c r="F3" t="str">
        <x:v>Exact-match lookup against Customers tab</x:v>
      </x:c>
    </x:row>
    <x:row r="4">
      <x:c r="A4" t="str">
        <x:v>C003</x:v>
      </x:c>
      <x:c r="B4" t="str">
        <x:f>VLOOKUP(A4,Customers!$A$2:$F$9,2,FALSE)</x:f>
        <x:v>Atlas Imports</x:v>
      </x:c>
      <x:c r="C4" t="str">
        <x:f>VLOOKUP(A4,Customers!$A$2:$F$9,3,FALSE)</x:f>
        <x:v>Import / Export</x:v>
      </x:c>
      <x:c r="D4" t="str">
        <x:f>VLOOKUP(A4,Customers!$A$2:$F$9,4,FALSE)</x:f>
        <x:v>High</x:v>
      </x:c>
      <x:c r="E4" s="13" t="n">
        <x:f>VLOOKUP(A4,Customers!$A$2:$F$9,6,FALSE)</x:f>
        <x:v>9800</x:v>
      </x:c>
      <x:c r="F4" t="str">
        <x:v>Exact-match lookup against Customers tab</x:v>
      </x:c>
    </x:row>
    <x:row r="5">
      <x:c r="A5" t="str">
        <x:v>C004</x:v>
      </x:c>
      <x:c r="B5" t="str">
        <x:f>VLOOKUP(A5,Customers!$A$2:$F$9,2,FALSE)</x:f>
        <x:v>Luna Cafe</x:v>
      </x:c>
      <x:c r="C5" t="str">
        <x:f>VLOOKUP(A5,Customers!$A$2:$F$9,3,FALSE)</x:f>
        <x:v>Restaurant</x:v>
      </x:c>
      <x:c r="D5" t="str">
        <x:f>VLOOKUP(A5,Customers!$A$2:$F$9,4,FALSE)</x:f>
        <x:v>Low</x:v>
      </x:c>
      <x:c r="E5" s="13" t="n">
        <x:f>VLOOKUP(A5,Customers!$A$2:$F$9,6,FALSE)</x:f>
        <x:v>2800</x:v>
      </x:c>
      <x:c r="F5" t="str">
        <x:v>Exact-match lookup against Customers tab</x:v>
      </x:c>
    </x:row>
    <x:row r="6">
      <x:c r="A6" t="str">
        <x:v>C005</x:v>
      </x:c>
      <x:c r="B6" t="str">
        <x:f>VLOOKUP(A6,Customers!$A$2:$F$9,2,FALSE)</x:f>
        <x:v>River Bend Services</x:v>
      </x:c>
      <x:c r="C6" t="str">
        <x:f>VLOOKUP(A6,Customers!$A$2:$F$9,3,FALSE)</x:f>
        <x:v>Services</x:v>
      </x:c>
      <x:c r="D6" t="str">
        <x:f>VLOOKUP(A6,Customers!$A$2:$F$9,4,FALSE)</x:f>
        <x:v>Medium</x:v>
      </x:c>
      <x:c r="E6" s="13" t="n">
        <x:f>VLOOKUP(A6,Customers!$A$2:$F$9,6,FALSE)</x:f>
        <x:v>4600</x:v>
      </x:c>
      <x:c r="F6" t="str">
        <x:v>Exact-match lookup against Customers tab</x:v>
      </x:c>
    </x:row>
    <x:row r="7">
      <x:c r="A7" t="str">
        <x:v>C006</x:v>
      </x:c>
      <x:c r="B7" t="str">
        <x:f>VLOOKUP(A7,Customers!$A$2:$F$9,2,FALSE)</x:f>
        <x:v>Maple Books</x:v>
      </x:c>
      <x:c r="C7" t="str">
        <x:f>VLOOKUP(A7,Customers!$A$2:$F$9,3,FALSE)</x:f>
        <x:v>Retail</x:v>
      </x:c>
      <x:c r="D7" t="str">
        <x:f>VLOOKUP(A7,Customers!$A$2:$F$9,4,FALSE)</x:f>
        <x:v>Low</x:v>
      </x:c>
      <x:c r="E7" s="13" t="n">
        <x:f>VLOOKUP(A7,Customers!$A$2:$F$9,6,FALSE)</x:f>
        <x:v>1800</x:v>
      </x:c>
      <x:c r="F7" t="str">
        <x:v>Exact-match lookup against Customers tab</x:v>
      </x:c>
    </x:row>
    <x:row r="8">
      <x:c r="A8" t="str">
        <x:v>C007</x:v>
      </x:c>
      <x:c r="B8" t="str">
        <x:f>VLOOKUP(A8,Customers!$A$2:$F$9,2,FALSE)</x:f>
        <x:v>Summit Supplies</x:v>
      </x:c>
      <x:c r="C8" t="str">
        <x:f>VLOOKUP(A8,Customers!$A$2:$F$9,3,FALSE)</x:f>
        <x:v>Wholesale</x:v>
      </x:c>
      <x:c r="D8" t="str">
        <x:f>VLOOKUP(A8,Customers!$A$2:$F$9,4,FALSE)</x:f>
        <x:v>Medium</x:v>
      </x:c>
      <x:c r="E8" s="13" t="n">
        <x:f>VLOOKUP(A8,Customers!$A$2:$F$9,6,FALSE)</x:f>
        <x:v>6800</x:v>
      </x:c>
      <x:c r="F8" t="str">
        <x:v>Exact-match lookup against Customers tab</x:v>
      </x:c>
    </x:row>
    <x:row r="9">
      <x:c r="A9" t="str">
        <x:v>C008</x:v>
      </x:c>
      <x:c r="B9" t="str">
        <x:f>VLOOKUP(A9,Customers!$A$2:$F$9,2,FALSE)</x:f>
        <x:v>Orchid Logistics</x:v>
      </x:c>
      <x:c r="C9" t="str">
        <x:f>VLOOKUP(A9,Customers!$A$2:$F$9,3,FALSE)</x:f>
        <x:v>Transportation</x:v>
      </x:c>
      <x:c r="D9" t="str">
        <x:f>VLOOKUP(A9,Customers!$A$2:$F$9,4,FALSE)</x:f>
        <x:v>High</x:v>
      </x:c>
      <x:c r="E9" s="13" t="n">
        <x:f>VLOOKUP(A9,Customers!$A$2:$F$9,6,FALSE)</x:f>
        <x:v>11500</x:v>
      </x:c>
      <x:c r="F9" t="str">
        <x:v>Exact-match lookup against Customers tab</x:v>
      </x:c>
    </x:row>
    <x:row r="12">
      <x:c r="A12" s="12" t="str">
        <x:v>HOW TO PRACTICE</x:v>
      </x:c>
      <x:c r="B12" s="12" t="str">
        <x:v>INSTRUCTIONS</x:v>
      </x:c>
    </x:row>
    <x:row r="13">
      <x:c r="A13" t="str">
        <x:v>Step 1</x:v>
      </x:c>
      <x:c r="B13" t="str">
        <x:v>Open Customers tab: ID is column A, risk rating is column D.</x:v>
      </x:c>
    </x:row>
    <x:row r="14">
      <x:c r="A14" t="str">
        <x:v>Step 2</x:v>
      </x:c>
      <x:c r="B14" t="str">
        <x:v>Select VLOOKUP Walkthrough!D2: =VLOOKUP(A2,Customers!$A$2:$F$9,4,FALSE)</x:v>
      </x:c>
    </x:row>
    <x:row r="15">
      <x:c r="A15" t="str">
        <x:v>Step 3</x:v>
      </x:c>
      <x:c r="B15" t="str">
        <x:v>A2 is lookup value; Customers!$A$2:$F$9 is fixed lookup table; 4 returns risk; FALSE requires exact match.</x:v>
      </x:c>
    </x:row>
    <x:row r="16">
      <x:c r="A16" t="str">
        <x:v>Step 4</x:v>
      </x:c>
      <x:c r="B16" t="str">
        <x:v>Change A2 to C003; confirm the returned rating changes to High. Restore C001.</x:v>
      </x:c>
    </x:row>
    <x:row r="17">
      <x:c r="A17" t="str">
        <x:v>Step 5</x:v>
      </x:c>
      <x:c r="B17" t="str">
        <x:v>Try an unknown ID (C999); #N/A means no match. Restore C001.</x:v>
      </x:c>
    </x:row>
    <x:row r="18">
      <x:c r="A18" t="str">
        <x:v>Step 6</x:v>
      </x:c>
      <x:c r="B18" t="str">
        <x:v>Filter Transactions to C001 and compare activity to retrieved profile and expected activity.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4" hidden="0" customWidth="1"/>
    <x:col min="3" max="3" width="14" hidden="0" customWidth="1"/>
    <x:col min="4" max="4" width="22" hidden="0" customWidth="1"/>
  </x:cols>
  <x:sheetData>
    <x:row r="1">
      <x:c r="A1" s="12" t="str">
        <x:v>Customer ID</x:v>
      </x:c>
      <x:c r="B1" s="12" t="str">
        <x:v>Transaction Type</x:v>
      </x:c>
      <x:c r="C1" s="12" t="str">
        <x:v>Count</x:v>
      </x:c>
      <x:c r="D1" s="12" t="str">
        <x:v>Total USD</x:v>
      </x:c>
    </x:row>
    <x:row r="2">
      <x:c r="A2" t="str">
        <x:v>C001</x:v>
      </x:c>
      <x:c r="B2" t="str">
        <x:v>ACH Credit</x:v>
      </x:c>
      <x:c r="C2" t="n">
        <x:v>3</x:v>
      </x:c>
      <x:c r="D2" s="2" t="n">
        <x:v>6668.21</x:v>
      </x:c>
    </x:row>
    <x:row r="3">
      <x:c r="A3" t="str">
        <x:v>C001</x:v>
      </x:c>
      <x:c r="B3" t="str">
        <x:v>ACH Debit</x:v>
      </x:c>
      <x:c r="C3" t="n">
        <x:v>3</x:v>
      </x:c>
      <x:c r="D3" s="2" t="n">
        <x:v>3198.08</x:v>
      </x:c>
    </x:row>
    <x:row r="4">
      <x:c r="A4" t="str">
        <x:v>C001</x:v>
      </x:c>
      <x:c r="B4" t="str">
        <x:v>Card Settlement</x:v>
      </x:c>
      <x:c r="C4" t="n">
        <x:v>3</x:v>
      </x:c>
      <x:c r="D4" s="2" t="n">
        <x:v>5929.89</x:v>
      </x:c>
    </x:row>
    <x:row r="5">
      <x:c r="A5" t="str">
        <x:v>C001</x:v>
      </x:c>
      <x:c r="B5" t="str">
        <x:v>Cash Deposit</x:v>
      </x:c>
      <x:c r="C5" t="n">
        <x:v>7</x:v>
      </x:c>
      <x:c r="D5" s="2" t="n">
        <x:v>49705.32</x:v>
      </x:c>
    </x:row>
    <x:row r="6">
      <x:c r="A6" t="str">
        <x:v>C001</x:v>
      </x:c>
      <x:c r="B6" t="str">
        <x:v>Domestic Wire</x:v>
      </x:c>
      <x:c r="C6" t="n">
        <x:v>3</x:v>
      </x:c>
      <x:c r="D6" s="2" t="n">
        <x:v>4721.57</x:v>
      </x:c>
    </x:row>
    <x:row r="7">
      <x:c r="A7" t="str">
        <x:v>C002</x:v>
      </x:c>
      <x:c r="B7" t="str">
        <x:v>ACH Credit</x:v>
      </x:c>
      <x:c r="C7" t="n">
        <x:v>3</x:v>
      </x:c>
      <x:c r="D7" s="2" t="n">
        <x:v>4494.42</x:v>
      </x:c>
    </x:row>
    <x:row r="8">
      <x:c r="A8" t="str">
        <x:v>C002</x:v>
      </x:c>
      <x:c r="B8" t="str">
        <x:v>ACH Debit</x:v>
      </x:c>
      <x:c r="C8" t="n">
        <x:v>3</x:v>
      </x:c>
      <x:c r="D8" s="2" t="n">
        <x:v>4506.56</x:v>
      </x:c>
    </x:row>
    <x:row r="9">
      <x:c r="A9" t="str">
        <x:v>C002</x:v>
      </x:c>
      <x:c r="B9" t="str">
        <x:v>Card Settlement</x:v>
      </x:c>
      <x:c r="C9" t="n">
        <x:v>3</x:v>
      </x:c>
      <x:c r="D9" s="2" t="n">
        <x:v>5770.17</x:v>
      </x:c>
    </x:row>
    <x:row r="10">
      <x:c r="A10" t="str">
        <x:v>C002</x:v>
      </x:c>
      <x:c r="B10" t="str">
        <x:v>Cash Deposit</x:v>
      </x:c>
      <x:c r="C10" t="n">
        <x:v>3</x:v>
      </x:c>
      <x:c r="D10" s="2" t="n">
        <x:v>9471.68</x:v>
      </x:c>
    </x:row>
    <x:row r="11">
      <x:c r="A11" t="str">
        <x:v>C002</x:v>
      </x:c>
      <x:c r="B11" t="str">
        <x:v>Domestic Wire</x:v>
      </x:c>
      <x:c r="C11" t="n">
        <x:v>3</x:v>
      </x:c>
      <x:c r="D11" s="2" t="n">
        <x:v>6712.4</x:v>
      </x:c>
    </x:row>
    <x:row r="12">
      <x:c r="A12" t="str">
        <x:v>C003</x:v>
      </x:c>
      <x:c r="B12" t="str">
        <x:v>ACH Credit</x:v>
      </x:c>
      <x:c r="C12" t="n">
        <x:v>3</x:v>
      </x:c>
      <x:c r="D12" s="2" t="n">
        <x:v>9239.95</x:v>
      </x:c>
    </x:row>
    <x:row r="13">
      <x:c r="A13" t="str">
        <x:v>C003</x:v>
      </x:c>
      <x:c r="B13" t="str">
        <x:v>ACH Debit</x:v>
      </x:c>
      <x:c r="C13" t="n">
        <x:v>3</x:v>
      </x:c>
      <x:c r="D13" s="2" t="n">
        <x:v>7191.26</x:v>
      </x:c>
    </x:row>
    <x:row r="14">
      <x:c r="A14" t="str">
        <x:v>C003</x:v>
      </x:c>
      <x:c r="B14" t="str">
        <x:v>Card Settlement</x:v>
      </x:c>
      <x:c r="C14" t="n">
        <x:v>3</x:v>
      </x:c>
      <x:c r="D14" s="2" t="n">
        <x:v>8847.77</x:v>
      </x:c>
    </x:row>
    <x:row r="15">
      <x:c r="A15" t="str">
        <x:v>C003</x:v>
      </x:c>
      <x:c r="B15" t="str">
        <x:v>Cash Deposit</x:v>
      </x:c>
      <x:c r="C15" t="n">
        <x:v>3</x:v>
      </x:c>
      <x:c r="D15" s="2" t="n">
        <x:v>3178.59</x:v>
      </x:c>
    </x:row>
    <x:row r="16">
      <x:c r="A16" t="str">
        <x:v>C003</x:v>
      </x:c>
      <x:c r="B16" t="str">
        <x:v>Domestic Wire</x:v>
      </x:c>
      <x:c r="C16" t="n">
        <x:v>3</x:v>
      </x:c>
      <x:c r="D16" s="2" t="n">
        <x:v>5961.22</x:v>
      </x:c>
    </x:row>
    <x:row r="17">
      <x:c r="A17" t="str">
        <x:v>C003</x:v>
      </x:c>
      <x:c r="B17" t="str">
        <x:v>International Wire</x:v>
      </x:c>
      <x:c r="C17" t="n">
        <x:v>3</x:v>
      </x:c>
      <x:c r="D17" s="2" t="n">
        <x:v>44750</x:v>
      </x:c>
    </x:row>
    <x:row r="18">
      <x:c r="A18" t="str">
        <x:v>C004</x:v>
      </x:c>
      <x:c r="B18" t="str">
        <x:v>ACH Credit</x:v>
      </x:c>
      <x:c r="C18" t="n">
        <x:v>3</x:v>
      </x:c>
      <x:c r="D18" s="2" t="n">
        <x:v>9802.08</x:v>
      </x:c>
    </x:row>
    <x:row r="19">
      <x:c r="A19" t="str">
        <x:v>C004</x:v>
      </x:c>
      <x:c r="B19" t="str">
        <x:v>ACH Debit</x:v>
      </x:c>
      <x:c r="C19" t="n">
        <x:v>3</x:v>
      </x:c>
      <x:c r="D19" s="2" t="n">
        <x:v>8281.64</x:v>
      </x:c>
    </x:row>
    <x:row r="20">
      <x:c r="A20" t="str">
        <x:v>C004</x:v>
      </x:c>
      <x:c r="B20" t="str">
        <x:v>Card Settlement</x:v>
      </x:c>
      <x:c r="C20" t="n">
        <x:v>3</x:v>
      </x:c>
      <x:c r="D20" s="2" t="n">
        <x:v>8696.69</x:v>
      </x:c>
    </x:row>
    <x:row r="21">
      <x:c r="A21" t="str">
        <x:v>C004</x:v>
      </x:c>
      <x:c r="B21" t="str">
        <x:v>Cash Deposit</x:v>
      </x:c>
      <x:c r="C21" t="n">
        <x:v>3</x:v>
      </x:c>
      <x:c r="D21" s="2" t="n">
        <x:v>5555.63</x:v>
      </x:c>
    </x:row>
    <x:row r="22">
      <x:c r="A22" t="str">
        <x:v>C004</x:v>
      </x:c>
      <x:c r="B22" t="str">
        <x:v>Domestic Wire</x:v>
      </x:c>
      <x:c r="C22" t="n">
        <x:v>3</x:v>
      </x:c>
      <x:c r="D22" s="2" t="n">
        <x:v>4246.03</x:v>
      </x:c>
    </x:row>
    <x:row r="23">
      <x:c r="A23" t="str">
        <x:v>C005</x:v>
      </x:c>
      <x:c r="B23" t="str">
        <x:v>ACH Credit</x:v>
      </x:c>
      <x:c r="C23" t="n">
        <x:v>3</x:v>
      </x:c>
      <x:c r="D23" s="2" t="n">
        <x:v>9675.52</x:v>
      </x:c>
    </x:row>
    <x:row r="24">
      <x:c r="A24" t="str">
        <x:v>C005</x:v>
      </x:c>
      <x:c r="B24" t="str">
        <x:v>ACH Debit</x:v>
      </x:c>
      <x:c r="C24" t="n">
        <x:v>2</x:v>
      </x:c>
      <x:c r="D24" s="2" t="n">
        <x:v>1724.52</x:v>
      </x:c>
    </x:row>
    <x:row r="25">
      <x:c r="A25" t="str">
        <x:v>C005</x:v>
      </x:c>
      <x:c r="B25" t="str">
        <x:v>Card Settlement</x:v>
      </x:c>
      <x:c r="C25" t="n">
        <x:v>3</x:v>
      </x:c>
      <x:c r="D25" s="2" t="n">
        <x:v>7367.91</x:v>
      </x:c>
    </x:row>
    <x:row r="26">
      <x:c r="A26" t="str">
        <x:v>C005</x:v>
      </x:c>
      <x:c r="B26" t="str">
        <x:v>Cash Deposit</x:v>
      </x:c>
      <x:c r="C26" t="n">
        <x:v>3</x:v>
      </x:c>
      <x:c r="D26" s="2" t="n">
        <x:v>6287.21</x:v>
      </x:c>
    </x:row>
    <x:row r="27">
      <x:c r="A27" t="str">
        <x:v>C005</x:v>
      </x:c>
      <x:c r="B27" t="str">
        <x:v>Domestic Wire</x:v>
      </x:c>
      <x:c r="C27" t="n">
        <x:v>3</x:v>
      </x:c>
      <x:c r="D27" s="2" t="n">
        <x:v>6329.85</x:v>
      </x:c>
    </x:row>
    <x:row r="28">
      <x:c r="A28" t="str">
        <x:v>C006</x:v>
      </x:c>
      <x:c r="B28" t="str">
        <x:v>ACH Credit</x:v>
      </x:c>
      <x:c r="C28" t="n">
        <x:v>3</x:v>
      </x:c>
      <x:c r="D28" s="2" t="n">
        <x:v>3073.93</x:v>
      </x:c>
    </x:row>
    <x:row r="29">
      <x:c r="A29" t="str">
        <x:v>C006</x:v>
      </x:c>
      <x:c r="B29" t="str">
        <x:v>ACH Debit</x:v>
      </x:c>
      <x:c r="C29" t="n">
        <x:v>3</x:v>
      </x:c>
      <x:c r="D29" s="2" t="n">
        <x:v>8876.52</x:v>
      </x:c>
    </x:row>
    <x:row r="30">
      <x:c r="A30" t="str">
        <x:v>C006</x:v>
      </x:c>
      <x:c r="B30" t="str">
        <x:v>Card Settlement</x:v>
      </x:c>
      <x:c r="C30" t="n">
        <x:v>3</x:v>
      </x:c>
      <x:c r="D30" s="2" t="n">
        <x:v>10411.17</x:v>
      </x:c>
    </x:row>
    <x:row r="31">
      <x:c r="A31" t="str">
        <x:v>C006</x:v>
      </x:c>
      <x:c r="B31" t="str">
        <x:v>Cash Deposit</x:v>
      </x:c>
      <x:c r="C31" t="n">
        <x:v>2</x:v>
      </x:c>
      <x:c r="D31" s="2" t="n">
        <x:v>5253.12</x:v>
      </x:c>
    </x:row>
    <x:row r="32">
      <x:c r="A32" t="str">
        <x:v>C006</x:v>
      </x:c>
      <x:c r="B32" t="str">
        <x:v>Domestic Wire</x:v>
      </x:c>
      <x:c r="C32" t="n">
        <x:v>2</x:v>
      </x:c>
      <x:c r="D32" s="2" t="n">
        <x:v>3377.56</x:v>
      </x:c>
    </x:row>
    <x:row r="33">
      <x:c r="A33" t="str">
        <x:v>C007</x:v>
      </x:c>
      <x:c r="B33" t="str">
        <x:v>ACH Credit</x:v>
      </x:c>
      <x:c r="C33" t="n">
        <x:v>3</x:v>
      </x:c>
      <x:c r="D33" s="2" t="n">
        <x:v>7907.07</x:v>
      </x:c>
    </x:row>
    <x:row r="34">
      <x:c r="A34" t="str">
        <x:v>C007</x:v>
      </x:c>
      <x:c r="B34" t="str">
        <x:v>ACH Debit</x:v>
      </x:c>
      <x:c r="C34" t="n">
        <x:v>3</x:v>
      </x:c>
      <x:c r="D34" s="2" t="n">
        <x:v>6537.42</x:v>
      </x:c>
    </x:row>
    <x:row r="35">
      <x:c r="A35" t="str">
        <x:v>C007</x:v>
      </x:c>
      <x:c r="B35" t="str">
        <x:v>Card Settlement</x:v>
      </x:c>
      <x:c r="C35" t="n">
        <x:v>2</x:v>
      </x:c>
      <x:c r="D35" s="2" t="n">
        <x:v>2052.43</x:v>
      </x:c>
    </x:row>
    <x:row r="36">
      <x:c r="A36" t="str">
        <x:v>C007</x:v>
      </x:c>
      <x:c r="B36" t="str">
        <x:v>Cash Deposit</x:v>
      </x:c>
      <x:c r="C36" t="n">
        <x:v>2</x:v>
      </x:c>
      <x:c r="D36" s="2" t="n">
        <x:v>3873.35</x:v>
      </x:c>
    </x:row>
    <x:row r="37">
      <x:c r="A37" t="str">
        <x:v>C007</x:v>
      </x:c>
      <x:c r="B37" t="str">
        <x:v>Domestic Wire</x:v>
      </x:c>
      <x:c r="C37" t="n">
        <x:v>3</x:v>
      </x:c>
      <x:c r="D37" s="2" t="n">
        <x:v>7993.44</x:v>
      </x:c>
    </x:row>
    <x:row r="38">
      <x:c r="A38" t="str">
        <x:v>C008</x:v>
      </x:c>
      <x:c r="B38" t="str">
        <x:v>ACH Credit</x:v>
      </x:c>
      <x:c r="C38" t="n">
        <x:v>2</x:v>
      </x:c>
      <x:c r="D38" s="2" t="n">
        <x:v>1424.76</x:v>
      </x:c>
    </x:row>
    <x:row r="39">
      <x:c r="A39" t="str">
        <x:v>C008</x:v>
      </x:c>
      <x:c r="B39" t="str">
        <x:v>ACH Debit</x:v>
      </x:c>
      <x:c r="C39" t="n">
        <x:v>3</x:v>
      </x:c>
      <x:c r="D39" s="2" t="n">
        <x:v>7218.38</x:v>
      </x:c>
    </x:row>
    <x:row r="40">
      <x:c r="A40" t="str">
        <x:v>C008</x:v>
      </x:c>
      <x:c r="B40" t="str">
        <x:v>Card Settlement</x:v>
      </x:c>
      <x:c r="C40" t="n">
        <x:v>2</x:v>
      </x:c>
      <x:c r="D40" s="2" t="n">
        <x:v>2424.75</x:v>
      </x:c>
    </x:row>
    <x:row r="41">
      <x:c r="A41" t="str">
        <x:v>C008</x:v>
      </x:c>
      <x:c r="B41" t="str">
        <x:v>Cash Deposit</x:v>
      </x:c>
      <x:c r="C41" t="n">
        <x:v>3</x:v>
      </x:c>
      <x:c r="D41" s="2" t="n">
        <x:v>6223.89</x:v>
      </x:c>
    </x:row>
    <x:row r="42">
      <x:c r="A42" t="str">
        <x:v>C008</x:v>
      </x:c>
      <x:c r="B42" t="str">
        <x:v>Domestic Wire</x:v>
      </x:c>
      <x:c r="C42" t="n">
        <x:v>3</x:v>
      </x:c>
      <x:c r="D42" s="2" t="n">
        <x:v>1787.13</x:v>
      </x:c>
    </x:row>
    <x:row r="45">
      <x:c r="A45" s="12" t="str">
        <x:v>CREATE A REAL PIVOTTABLE</x:v>
      </x:c>
      <x:c r="B45" s="12" t="str"/>
    </x:row>
    <x:row r="46">
      <x:c r="A46" t="str">
        <x:v>1</x:v>
      </x:c>
      <x:c r="B46" t="str">
        <x:v>Open Transactions and select the full data range, including the header row.</x:v>
      </x:c>
    </x:row>
    <x:row r="47">
      <x:c r="A47" t="str">
        <x:v>2</x:v>
      </x:c>
      <x:c r="B47" t="str">
        <x:v>Go to Insert &gt; PivotTable &gt; New Worksheet.</x:v>
      </x:c>
    </x:row>
    <x:row r="48">
      <x:c r="A48" t="str">
        <x:v>3</x:v>
      </x:c>
      <x:c r="B48" t="str">
        <x:v>Drag Customer_ID to Rows; Type to Columns.</x:v>
      </x:c>
    </x:row>
    <x:row r="49">
      <x:c r="A49" t="str">
        <x:v>4</x:v>
      </x:c>
      <x:c r="B49" t="str">
        <x:v>Drag Transaction_ID to Values; choose Count.</x:v>
      </x:c>
    </x:row>
    <x:row r="50">
      <x:c r="A50" t="str">
        <x:v>5</x:v>
      </x:c>
      <x:c r="B50" t="str">
        <x:v>Drag Amount_USD to Values; choose Sum; format as Currency.</x:v>
      </x:c>
    </x:row>
    <x:row r="51">
      <x:c r="A51" t="str">
        <x:v>6</x:v>
      </x:c>
      <x:c r="B51" t="str">
        <x:v>Filter customer C001 and investigate flagged cluster on Aug 12–15.</x:v>
      </x:c>
    </x:row>
    <x:row r="52">
      <x:c r="A52" t="str">
        <x:v>NOTE</x:v>
      </x:c>
      <x:c r="B52" t="str">
        <x:v>The summary above is a reproducible aggregate, NOT an actual Excel PivotTable object. Follow steps to build one.</x:v>
      </x:c>
    </x:row>
  </x:sheetData>
  <x:pageMargins left="0.7" right="0.7" top="0.75" bottom="0.75" header="0.3" footer="0.3"/>
</x:worksheet>
</file>